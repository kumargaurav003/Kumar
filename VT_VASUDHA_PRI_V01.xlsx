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gaura\Documents\GitHub\Vasudha Exercise\"/>
    </mc:Choice>
  </mc:AlternateContent>
  <xr:revisionPtr revIDLastSave="0" documentId="13_ncr:1_{B4AB2FD6-D003-43ED-B19D-95F46EF774F4}" xr6:coauthVersionLast="47" xr6:coauthVersionMax="47" xr10:uidLastSave="{00000000-0000-0000-0000-000000000000}"/>
  <bookViews>
    <workbookView xWindow="-110" yWindow="-110" windowWidth="19420" windowHeight="10420" tabRatio="901" firstSheet="1" activeTab="5" xr2:uid="{00000000-000D-0000-FFFF-FFFF00000000}"/>
  </bookViews>
  <sheets>
    <sheet name="Demand_Projection" sheetId="142" r:id="rId1"/>
    <sheet name="Fuel_Code" sheetId="137" r:id="rId2"/>
    <sheet name="Demand_Code" sheetId="138" r:id="rId3"/>
    <sheet name="Pri_COA" sheetId="132" r:id="rId4"/>
    <sheet name="SEC_Process" sheetId="143" r:id="rId5"/>
    <sheet name="DemTechs_TPS" sheetId="136" r:id="rId6"/>
    <sheet name="Demands" sheetId="134" r:id="rId7"/>
  </sheets>
  <externalReferences>
    <externalReference r:id="rId8"/>
    <externalReference r:id="rId9"/>
    <externalReference r:id="rId10"/>
  </externalReferences>
  <definedNames>
    <definedName name="\0">#REF!</definedName>
    <definedName name="\a">#REF!</definedName>
    <definedName name="\b">#REF!</definedName>
    <definedName name="\I">#REF!</definedName>
    <definedName name="\P">#REF!</definedName>
    <definedName name="_Key1" hidden="1">#REF!</definedName>
    <definedName name="_msg1">#REF!</definedName>
    <definedName name="_msg2">#REF!</definedName>
    <definedName name="_Order1" hidden="1">255</definedName>
    <definedName name="_Order2" hidden="1">255</definedName>
    <definedName name="_Sort" hidden="1">#REF!</definedName>
    <definedName name="_sub1">#REF!</definedName>
    <definedName name="_Sub2">#REF!</definedName>
    <definedName name="aa">#REF!</definedName>
    <definedName name="abc">#REF!</definedName>
    <definedName name="add">#REF!</definedName>
    <definedName name="AnswerData">#REF!</definedName>
    <definedName name="asf5r">#REF!</definedName>
    <definedName name="ASS">#REF!</definedName>
    <definedName name="autowidth">#REF!</definedName>
    <definedName name="Average_travel_Distance">#REF!</definedName>
    <definedName name="avg_water_heater_PJ">#REF!</definedName>
    <definedName name="base.year">'[1]Target Year Input'!$E$3</definedName>
    <definedName name="btu_per_watthr">#REF!</definedName>
    <definedName name="Clean">#REF!</definedName>
    <definedName name="coal.past">[1]XV.b.o!$B$12:$G$23</definedName>
    <definedName name="Constants.Density.Diesel">#REF!</definedName>
    <definedName name="Constants.Density.Ethanol">#REF!</definedName>
    <definedName name="Constants.Density.JetFuel">#REF!</definedName>
    <definedName name="Constants.Density.MotorSpirit">#REF!</definedName>
    <definedName name="Conversion.to.average.power">[1]Conversions!$E$93</definedName>
    <definedName name="Conversion.water.L">[1]Conversions!$E$159:$E$161</definedName>
    <definedName name="Conversion.water.units">[1]Conversions!$B$159:$B$161</definedName>
    <definedName name="Conversions.Area.m2">[1]Conversions!$E$83:$E$88</definedName>
    <definedName name="Conversions.Area.Units">[1]Conversions!$B$83:$B$88</definedName>
    <definedName name="Conversions.Energy.Joules">[1]Conversions!$E$6:$E$59</definedName>
    <definedName name="Conversions.Energy.Units">[1]Conversions!$B$6:$B$59</definedName>
    <definedName name="Conversions.Money.GBP">[1]Conversions!$F$106:$F$124</definedName>
    <definedName name="Conversions.Money.Units">[1]Conversions!$B$106:$B$124</definedName>
    <definedName name="Conversions.Power.Units">[1]Conversions!$B$65:$B$70</definedName>
    <definedName name="Conversions.Power.Watts">[1]Conversions!$E$65:$E$70</definedName>
    <definedName name="Cost.Capital.Scenario">[1]Control!$E$59</definedName>
    <definedName name="Cost.Finance.Scenario">[1]Control!$E$62</definedName>
    <definedName name="Cost.Fuel.Scenario">[1]Control!$E$60</definedName>
    <definedName name="Cost.Infrastructure.Scenario">[1]Control!$E$61</definedName>
    <definedName name="Cost_difference">#REF!</definedName>
    <definedName name="csp.capacity">[1]IV.b!$B$14:$E$24</definedName>
    <definedName name="D">#REF!</definedName>
    <definedName name="days_per_year">#REF!</definedName>
    <definedName name="discount_factors">'[1]Global assumptions'!$E$45:E$45</definedName>
    <definedName name="discount_rate">#REF!</definedName>
    <definedName name="dollar____per__m">#REF!</definedName>
    <definedName name="EF.BlastFurnaceGas.CO2">#REF!</definedName>
    <definedName name="EF.Diesel.CH4">#REF!</definedName>
    <definedName name="EF.Diesel.CO2">#REF!</definedName>
    <definedName name="EF.Diesel.N2O">#REF!</definedName>
    <definedName name="EF.IndustrialCoal.CH4">#REF!</definedName>
    <definedName name="EF.IndustrialCoal.CO2">#REF!</definedName>
    <definedName name="EF.IndustrialCoal.N2O">#REF!</definedName>
    <definedName name="EF.NaturalGas.CH4">#REF!</definedName>
    <definedName name="EF.NaturalGas.CO2">#REF!</definedName>
    <definedName name="EF.NaturalGas.N2O">#REF!</definedName>
    <definedName name="em_dash">#REF!</definedName>
    <definedName name="Empcol">#REF!</definedName>
    <definedName name="EmpColbn1">#REF!</definedName>
    <definedName name="EmpColbn2">#REF!</definedName>
    <definedName name="EmpColbn21">#REF!</definedName>
    <definedName name="EmpColbn22">#REF!</definedName>
    <definedName name="EmpColbn23">#REF!</definedName>
    <definedName name="EmpColbn24">#REF!</definedName>
    <definedName name="EmpColbn25">#REF!</definedName>
    <definedName name="EmpColbn26">#REF!</definedName>
    <definedName name="EmpColBn27">#REF!</definedName>
    <definedName name="EmpColBn28">#REF!</definedName>
    <definedName name="EmpColsub1">#REF!</definedName>
    <definedName name="EmpColsub2">#REF!</definedName>
    <definedName name="EmpColsub3">#REF!</definedName>
    <definedName name="EmpColSub4">#REF!</definedName>
    <definedName name="en_dash">#REF!</definedName>
    <definedName name="fert">#REF!</definedName>
    <definedName name="fhjhjhjhjhjhjhj">#REF!</definedName>
    <definedName name="FID_1">[2]AGR_Fuels!$A$2</definedName>
    <definedName name="foot1sub1">#REF!</definedName>
    <definedName name="foot1sub2">#REF!</definedName>
    <definedName name="foot2sub1">#REF!</definedName>
    <definedName name="foot2sub2">#REF!</definedName>
    <definedName name="foot3sub1">#REF!</definedName>
    <definedName name="foot3sub2">#REF!</definedName>
    <definedName name="foot4sub1">#REF!</definedName>
    <definedName name="foot4sub2">#REF!</definedName>
    <definedName name="foot5sub1">#REF!</definedName>
    <definedName name="foot5sub2">#REF!</definedName>
    <definedName name="foot6sub1">#REF!</definedName>
    <definedName name="foot6sub2">#REF!</definedName>
    <definedName name="footnote1">#REF!</definedName>
    <definedName name="footnote2">#REF!</definedName>
    <definedName name="footnote3">#REF!</definedName>
    <definedName name="footnote4">#REF!</definedName>
    <definedName name="footnote5">#REF!</definedName>
    <definedName name="footnote6">#REF!</definedName>
    <definedName name="Format">#REF!</definedName>
    <definedName name="Format1">#REF!</definedName>
    <definedName name="GBP">[1]Conversions!$E$124</definedName>
    <definedName name="gr_diesel">#REF!</definedName>
    <definedName name="gr_FT50_NG">#REF!</definedName>
    <definedName name="gr_gasoline">#REF!</definedName>
    <definedName name="gr_H2_coal">#REF!</definedName>
    <definedName name="gr_H2_NG">#REF!</definedName>
    <definedName name="gr_H2_wind">#REF!</definedName>
    <definedName name="gr_methonal">#REF!</definedName>
    <definedName name="gr_NG">#REF!</definedName>
    <definedName name="growth.scenario">[1]Control!$E$31</definedName>
    <definedName name="GWP.CH4">'[1]Global assumptions'!$C$96</definedName>
    <definedName name="GWP.N2O">'[1]Global assumptions'!$C$97</definedName>
    <definedName name="h">#REF!</definedName>
    <definedName name="hours_per_day">#REF!</definedName>
    <definedName name="I.01">[1]!XV.b.Outputs.2[#Data]</definedName>
    <definedName name="I.a.scenario">[1]Control!$E$5</definedName>
    <definedName name="I.b.scenario">[1]Control!$E$6</definedName>
    <definedName name="I.b.scenario.efficiency">[1]Control!$E$7</definedName>
    <definedName name="I.c.scenario">[1]Control!$E$9</definedName>
    <definedName name="I.c.scenario.fuelmix">[1]Control!$E$10</definedName>
    <definedName name="II.scenario">[1]Control!$E$11</definedName>
    <definedName name="III.scenario">[1]Control!$E$12</definedName>
    <definedName name="Indent">#REF!</definedName>
    <definedName name="indentsub1">#REF!</definedName>
    <definedName name="indentsub2">#REF!</definedName>
    <definedName name="INIT">#REF!</definedName>
    <definedName name="input.choice">'[1]Target Year Input'!$E$10</definedName>
    <definedName name="INR">[1]Conversions!$E$115</definedName>
    <definedName name="INRb">[1]Conversions!$E$121</definedName>
    <definedName name="INRCr">[1]Conversions!$E$116</definedName>
    <definedName name="INRLac">[1]Conversions!$E$123</definedName>
    <definedName name="INRt">[1]Conversions!$E$120</definedName>
    <definedName name="IV.a.scenario">[1]Control!$E$13</definedName>
    <definedName name="IV.b.scenario">[1]Control!$E$14</definedName>
    <definedName name="IV.c.1.scenario">[1]Control!$E$15</definedName>
    <definedName name="iv.c.2.scenario">[1]Control!$E$16</definedName>
    <definedName name="IV.d.scenario">[1]Control!$E$17</definedName>
    <definedName name="IV.e.scenario">[1]Control!$E$18</definedName>
    <definedName name="IV.f.scenario">[1]Control!#REF!</definedName>
    <definedName name="IX.a.scenario">[1]Control!#REF!</definedName>
    <definedName name="j_per_btu">#REF!</definedName>
    <definedName name="j_per_pj">#REF!</definedName>
    <definedName name="LEAP">#REF!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umens_per_billion_lumens">#REF!</definedName>
    <definedName name="m_space">#REF!</definedName>
    <definedName name="MAXREC">#REF!</definedName>
    <definedName name="MGBP">[1]Conversions!$E$108</definedName>
    <definedName name="Minesize.xv.b">[1]XV.b.o!$D$118</definedName>
    <definedName name="Non_fuel_OM">#REF!</definedName>
    <definedName name="NONLEAP">#REF!</definedName>
    <definedName name="nuclear.past">#REF!</definedName>
    <definedName name="num_per">#REF!</definedName>
    <definedName name="period">#REF!</definedName>
    <definedName name="plantsize.I.b">#REF!</definedName>
    <definedName name="Plantsize.II">#REF!</definedName>
    <definedName name="Plantsize.III">#REF!</definedName>
    <definedName name="plantsize.iv.a">#REF!</definedName>
    <definedName name="plantsize.iv.b">#REF!</definedName>
    <definedName name="Plantsize.iv.c.1">#REF!</definedName>
    <definedName name="plantsize.iv.c.2">#REF!</definedName>
    <definedName name="plantsize.iv.d">#REF!</definedName>
    <definedName name="predefined.scenario">'[1]IESS V3 Main Sheet'!$E$12</definedName>
    <definedName name="Preferences.AreaUnits">'[1]Unit Preferences'!$C$7</definedName>
    <definedName name="preferences.energyunits">'[1]Unit Preferences'!$C$3</definedName>
    <definedName name="Preferences.moneyunits">'[1]Unit Preferences'!$C$9</definedName>
    <definedName name="Preferences.PowerUnits">'[1]Unit Preferences'!$C$5</definedName>
    <definedName name="Preferences.Unit.Energy">'[1]Unit Preferences'!$F$3</definedName>
    <definedName name="Preferences.Unit.Power">'[1]Unit Preferences'!$F$5</definedName>
    <definedName name="Preferences.waterunit">'[1]Unit Preferences'!$C$11</definedName>
    <definedName name="Print1">#REF!</definedName>
    <definedName name="Ratio_PV">#REF!</definedName>
    <definedName name="Reliability.scenario">[1]Control!#REF!</definedName>
    <definedName name="RhSep">#REF!</definedName>
    <definedName name="SBindent">#REF!</definedName>
    <definedName name="SBtrim">#REF!</definedName>
    <definedName name="small_hydro.capacity">[1]IV.d!$B$13:$G$25</definedName>
    <definedName name="StoN">#REF!</definedName>
    <definedName name="StoNSub1">#REF!</definedName>
    <definedName name="StoNSub2">#REF!</definedName>
    <definedName name="target.year">'[1]Target Year Input'!$E$6</definedName>
    <definedName name="TECHNAME">#REF!</definedName>
    <definedName name="ThSep">#REF!</definedName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ChangeThreshold">0.01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rim">#REF!</definedName>
    <definedName name="trimsub1">#REF!</definedName>
    <definedName name="trimsub2">#REF!</definedName>
    <definedName name="TRNDTYPE">#REF!</definedName>
    <definedName name="Unit.acre">[1]Conversions!$F$85</definedName>
    <definedName name="unit.bcm">[1]Conversions!$F$59</definedName>
    <definedName name="Unit.boe">[1]Conversions!$F$17</definedName>
    <definedName name="Unit.calorie">[1]Conversions!$F$38</definedName>
    <definedName name="Unit.day">[1]Conversions!$F$76</definedName>
    <definedName name="Unit.GJ">[1]Conversions!$F$8</definedName>
    <definedName name="Unit.GW">[1]Conversions!$F$65</definedName>
    <definedName name="Unit.GWh">[1]Conversions!$F$15</definedName>
    <definedName name="Unit.ha">[1]Conversions!$F$83</definedName>
    <definedName name="Unit.hour">[1]Conversions!$F$77</definedName>
    <definedName name="Unit.J">[1]Conversions!$F$9</definedName>
    <definedName name="unit.kcng">[1]Conversions!$F$55</definedName>
    <definedName name="unit.kgb">[1]Conversions!$F$42</definedName>
    <definedName name="unit.kgce">[1]Conversions!$F$22</definedName>
    <definedName name="unit.kghe">[1]Conversions!$F$57</definedName>
    <definedName name="unit.kglpge">[1]Conversions!$F$40</definedName>
    <definedName name="Unit.km2">[1]Conversions!$F$86</definedName>
    <definedName name="Unit.kW">[1]Conversions!$F$67</definedName>
    <definedName name="Unit.kWh">[1]Conversions!$F$12</definedName>
    <definedName name="unit.L">[1]Conversions!$F$160</definedName>
    <definedName name="unit.latfe">[1]Conversions!$F$44</definedName>
    <definedName name="unit.lcng">[1]Conversions!$F$54</definedName>
    <definedName name="unit.lde">[1]Conversions!$F$45</definedName>
    <definedName name="unit.lke">[1]Conversions!$F$48</definedName>
    <definedName name="unit.lpe">[1]Conversions!$F$47</definedName>
    <definedName name="Unit.m2">[1]Conversions!$F$87</definedName>
    <definedName name="Unit.m3">[1]Conversions!$F$58</definedName>
    <definedName name="unit.MCM">[1]Conversions!$F$159</definedName>
    <definedName name="Unit.minute">[1]Conversions!$F$78</definedName>
    <definedName name="Unit.MJ">[1]Conversions!$F$10</definedName>
    <definedName name="unit.mmbtu">[1]Conversions!$F$37</definedName>
    <definedName name="unit.mmscm">[1]Conversions!$F$52</definedName>
    <definedName name="unit.mtcce">[1]Conversions!$F$28</definedName>
    <definedName name="Unit.Mtce">[1]Conversions!$F$27</definedName>
    <definedName name="unit.mtde">[1]Conversions!$F$46</definedName>
    <definedName name="unit.mticce">[1]Conversions!$F$34</definedName>
    <definedName name="unit.mtice">[1]Conversions!$F$33</definedName>
    <definedName name="unit.mtle">[1]Conversions!$F$24</definedName>
    <definedName name="Unit.Mtoe">[1]Conversions!$F$21</definedName>
    <definedName name="Unit.MW">[1]Conversions!$F$66</definedName>
    <definedName name="Unit.MWh">[1]Conversions!$F$16</definedName>
    <definedName name="Unit.PJ">[1]Conversions!$F$6</definedName>
    <definedName name="unit.scm">[1]Conversions!$F$51</definedName>
    <definedName name="unit.scmb">[1]Conversions!$F$49</definedName>
    <definedName name="unit.tce">[1]Conversions!$F$25</definedName>
    <definedName name="unit.ticce">[1]Conversions!$F$32</definedName>
    <definedName name="unit.tice">[1]Conversions!$F$31</definedName>
    <definedName name="Unit.TJ">[1]Conversions!$F$7</definedName>
    <definedName name="Unit.toe">[1]Conversions!$F$19</definedName>
    <definedName name="Unit.TWh">[1]Conversions!$F$14</definedName>
    <definedName name="Unit.W">[1]Conversions!$F$68</definedName>
    <definedName name="Unit.year">[1]Conversions!$F$75</definedName>
    <definedName name="USD_Bn">[1]Conversions!$E$118</definedName>
    <definedName name="USD_mn">[1]Conversions!$E$117</definedName>
    <definedName name="USD2012_">[1]Conversions!$E$113</definedName>
    <definedName name="v.a.scenario">[1]Control!$E$21</definedName>
    <definedName name="V.b.scenario">[1]Control!$E$23</definedName>
    <definedName name="V.c.scenario">[1]Control!$E$24</definedName>
    <definedName name="VI.a.scenario">[1]Control!$E$25</definedName>
    <definedName name="VII.a.scenario">[1]Control!$E$19</definedName>
    <definedName name="VII.b.scenario">[1]Control!$E$57</definedName>
    <definedName name="white_rect">#REF!</definedName>
    <definedName name="X.a.economy">[1]Control!$E$41</definedName>
    <definedName name="X.a.epi">[1]Control!$E$42</definedName>
    <definedName name="X.a.floorspace">[1]Control!$E$40</definedName>
    <definedName name="X.b.ac">[1]Control!$E$44</definedName>
    <definedName name="X.b.ecbc">[1]Control!$E$45</definedName>
    <definedName name="x.b.floorspace">[1]Control!$E$43</definedName>
    <definedName name="XI.cement.fuel">[1]Control!$E$48</definedName>
    <definedName name="XI.fuelmix">[1]Control!$E$47</definedName>
    <definedName name="XI.scenario">[1]Control!$E$46</definedName>
    <definedName name="XI.steel.fuel">[1]Control!$E$49</definedName>
    <definedName name="XII.a.scenario">[1]Control!$E$33</definedName>
    <definedName name="XII.a.scenario.EVs">[1]Control!$E$36</definedName>
    <definedName name="XII.a.scenario.mode">[1]Control!$E$34</definedName>
    <definedName name="XII.a.scenario.pub_pri">[1]Control!$E$35</definedName>
    <definedName name="XII.b.mode">[1]Control!$E$39</definedName>
    <definedName name="XII.b.scenario">[1]Control!$E$38</definedName>
    <definedName name="XIII.a.chulhas">[1]Control!$E$51</definedName>
    <definedName name="XIII.a.scenario.fuelsplit">[1]Control!$E$50</definedName>
    <definedName name="XIII.b">[3]Constants!#REF!</definedName>
    <definedName name="XIV.scenario">[1]Control!$E$53</definedName>
    <definedName name="XIV.scenario.fuelsplit">[1]Control!$E$54</definedName>
    <definedName name="xv.a.scenario">[1]Control!$E$27</definedName>
    <definedName name="xv.b.scenario">[1]Control!$E$28</definedName>
    <definedName name="XV.c.scenario">[1]Control!$E$29</definedName>
    <definedName name="xvi.scenario.fuelsplit">[1]Control!$E$55</definedName>
  </definedNames>
  <calcPr calcId="191029"/>
</workbook>
</file>

<file path=xl/calcChain.xml><?xml version="1.0" encoding="utf-8"?>
<calcChain xmlns="http://schemas.openxmlformats.org/spreadsheetml/2006/main">
  <c r="C26" i="132" l="1"/>
  <c r="B26" i="132"/>
  <c r="B27" i="132"/>
  <c r="B25" i="132"/>
  <c r="A5" i="138"/>
  <c r="B5" i="138"/>
  <c r="O21" i="132"/>
  <c r="M22" i="132"/>
  <c r="M21" i="132"/>
  <c r="M20" i="132"/>
  <c r="M16" i="132"/>
  <c r="M17" i="132"/>
  <c r="M18" i="132"/>
  <c r="M19" i="132"/>
  <c r="M15" i="132"/>
  <c r="Q6" i="132"/>
  <c r="Q7" i="132"/>
  <c r="Q8" i="132"/>
  <c r="Q9" i="132"/>
  <c r="D16" i="143"/>
  <c r="O5" i="136" l="1"/>
  <c r="P12" i="143"/>
  <c r="O12" i="143"/>
  <c r="G6" i="134"/>
  <c r="H6" i="134"/>
  <c r="F6" i="134"/>
  <c r="C13" i="136"/>
  <c r="C12" i="136"/>
  <c r="D21" i="143"/>
  <c r="P11" i="143"/>
  <c r="O11" i="143"/>
  <c r="P10" i="143"/>
  <c r="O10" i="143"/>
  <c r="C24" i="143"/>
  <c r="P19" i="143"/>
  <c r="O19" i="143"/>
  <c r="B21" i="143" s="1"/>
  <c r="P18" i="143"/>
  <c r="O18" i="143"/>
  <c r="B16" i="143" s="1"/>
  <c r="Q18" i="143"/>
  <c r="J15" i="143"/>
  <c r="I15" i="143"/>
  <c r="H15" i="143"/>
  <c r="P9" i="143"/>
  <c r="O9" i="143"/>
  <c r="C20" i="143" s="1"/>
  <c r="P8" i="143"/>
  <c r="O8" i="143"/>
  <c r="C19" i="143" s="1"/>
  <c r="P7" i="143"/>
  <c r="O7" i="143"/>
  <c r="C18" i="143" s="1"/>
  <c r="P6" i="143"/>
  <c r="O6" i="143"/>
  <c r="C17" i="143" s="1"/>
  <c r="Q5" i="143"/>
  <c r="O5" i="143"/>
  <c r="C16" i="143" s="1"/>
  <c r="D2" i="143"/>
  <c r="P5" i="143" s="1"/>
  <c r="D27" i="132"/>
  <c r="P6" i="132"/>
  <c r="O6" i="132"/>
  <c r="C25" i="143" l="1"/>
  <c r="C23" i="143"/>
  <c r="C22" i="143"/>
  <c r="C21" i="143"/>
  <c r="M23" i="132"/>
  <c r="F2" i="134"/>
  <c r="P9" i="132"/>
  <c r="O9" i="132"/>
  <c r="P8" i="132"/>
  <c r="O8" i="132"/>
  <c r="P7" i="132"/>
  <c r="O7" i="132"/>
  <c r="O5" i="132"/>
  <c r="Q15" i="132"/>
  <c r="Q16" i="132"/>
  <c r="D18" i="132" l="1"/>
  <c r="C25" i="132"/>
  <c r="D22" i="132" l="1"/>
  <c r="D20" i="132"/>
  <c r="D14" i="132"/>
  <c r="B9" i="134"/>
  <c r="B28" i="142"/>
  <c r="B29" i="142"/>
  <c r="B30" i="142"/>
  <c r="B31" i="142" s="1"/>
  <c r="B32" i="142" s="1"/>
  <c r="B33" i="142" s="1"/>
  <c r="B34" i="142" s="1"/>
  <c r="B35" i="142" s="1"/>
  <c r="B36" i="142" s="1"/>
  <c r="B37" i="142" s="1"/>
  <c r="B38" i="142" s="1"/>
  <c r="B39" i="142" s="1"/>
  <c r="B40" i="142" s="1"/>
  <c r="B41" i="142" s="1"/>
  <c r="B42" i="142" s="1"/>
  <c r="B43" i="142" s="1"/>
  <c r="B27" i="142"/>
  <c r="E3" i="142"/>
  <c r="Q12" i="136"/>
  <c r="F9" i="134" l="1"/>
  <c r="E9" i="134"/>
  <c r="G9" i="134" l="1"/>
  <c r="H9" i="134"/>
  <c r="Q5" i="136"/>
  <c r="P5" i="136"/>
  <c r="O12" i="136" l="1"/>
  <c r="F2" i="136"/>
  <c r="Q22" i="132" l="1"/>
  <c r="A6" i="138"/>
  <c r="O23" i="132" s="1"/>
  <c r="B6" i="138"/>
  <c r="B13" i="138"/>
  <c r="B12" i="138"/>
  <c r="A13" i="138"/>
  <c r="A12" i="138"/>
  <c r="Q23" i="132" l="1"/>
  <c r="Q17" i="132"/>
  <c r="Q18" i="132"/>
  <c r="Q19" i="132"/>
  <c r="Q20" i="132"/>
  <c r="Q21" i="132"/>
  <c r="B11" i="138"/>
  <c r="P19" i="132" s="1"/>
  <c r="A11" i="138"/>
  <c r="B10" i="138"/>
  <c r="P18" i="132" s="1"/>
  <c r="B9" i="138"/>
  <c r="A10" i="138"/>
  <c r="A9" i="138"/>
  <c r="B8" i="138"/>
  <c r="P22" i="132" s="1"/>
  <c r="A8" i="138"/>
  <c r="O22" i="132" s="1"/>
  <c r="B7" i="138"/>
  <c r="P17" i="132" s="1"/>
  <c r="A7" i="138"/>
  <c r="P23" i="132"/>
  <c r="B3" i="138"/>
  <c r="P16" i="132" s="1"/>
  <c r="A4" i="138"/>
  <c r="P21" i="132"/>
  <c r="A3" i="138"/>
  <c r="A2" i="138"/>
  <c r="B2" i="138"/>
  <c r="B4" i="138"/>
  <c r="P20" i="132" s="1"/>
  <c r="D2" i="132"/>
  <c r="C2" i="132"/>
  <c r="O15" i="132" l="1"/>
  <c r="B14" i="132" s="1"/>
  <c r="O20" i="132"/>
  <c r="B24" i="132" s="1"/>
  <c r="O18" i="132"/>
  <c r="B20" i="132" s="1"/>
  <c r="O16" i="132"/>
  <c r="B16" i="132" s="1"/>
  <c r="O19" i="132"/>
  <c r="B22" i="132" s="1"/>
  <c r="O17" i="132"/>
  <c r="B18" i="132" s="1"/>
  <c r="P15" i="132"/>
  <c r="D2" i="136" l="1"/>
  <c r="P12" i="136" s="1"/>
  <c r="H13" i="132"/>
  <c r="P5" i="132"/>
  <c r="Q5" i="132"/>
  <c r="C24" i="132" l="1"/>
  <c r="I11" i="136"/>
  <c r="D12" i="136"/>
  <c r="C9" i="134"/>
  <c r="R12" i="136"/>
  <c r="E11" i="136"/>
  <c r="J11" i="136"/>
  <c r="J13" i="132"/>
  <c r="I13" i="1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J11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 by period.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S12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2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2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3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E4CDB801-A2FF-4C29-B99F-259F61F5B20D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66D3D0B1-F3F5-4716-8A00-7DB6C2182006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EA332DEF-37ED-4ED6-AF61-D738F786669E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51D305A2-19AC-4968-84D1-153862668023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3A362067-E2D3-4C9D-BC43-04729D050204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J13" authorId="2" shapeId="0" xr:uid="{8C57D506-29FD-4B10-A15A-87854F40D9C2}">
      <text>
        <r>
          <rPr>
            <sz val="8"/>
            <color indexed="81"/>
            <rFont val="Tahoma"/>
            <family val="2"/>
          </rPr>
          <t xml:space="preserve">This attribute is used to assign a production limit by period.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S15" authorId="2" shapeId="0" xr:uid="{D9E8C2CB-A802-4E8E-AF16-ADA25924313A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5" authorId="1" shapeId="0" xr:uid="{AB27CC37-31CF-4F1E-8500-C3AA032DE515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5" authorId="2" shapeId="0" xr:uid="{89993BA2-B1C6-4CF9-916A-A8646495B4E2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6" authorId="2" shapeId="0" xr:uid="{DA7421A8-AF2A-442A-9C57-69D4373CCE12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9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9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9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0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<sst xmlns="http://schemas.openxmlformats.org/spreadsheetml/2006/main" count="314" uniqueCount="145">
  <si>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</si>
  <si>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</si>
  <si>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</si>
  <si>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</si>
  <si>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</si>
  <si>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</si>
  <si>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</si>
  <si>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</si>
  <si>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</si>
  <si>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</si>
  <si>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</si>
  <si>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</si>
  <si>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</si>
  <si>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</si>
  <si>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</si>
  <si>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</si>
  <si>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</si>
  <si>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</si>
  <si>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</si>
  <si>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</si>
  <si>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</si>
  <si>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</si>
  <si>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</si>
  <si>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</si>
  <si>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</si>
  <si>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</si>
  <si>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</si>
  <si>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</si>
  <si>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</si>
  <si>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</si>
  <si>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</si>
  <si>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</si>
  <si>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</si>
  <si>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</si>
  <si>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Demand Value</t>
  </si>
  <si>
    <t>CUM</t>
  </si>
  <si>
    <t>COST</t>
  </si>
  <si>
    <t>Reserves Cumulative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</si>
  <si>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</si>
  <si>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</si>
  <si>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</si>
  <si>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</si>
  <si>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</si>
  <si>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</si>
  <si>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</si>
  <si>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</si>
  <si>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ELC</t>
  </si>
  <si>
    <t>MIN</t>
  </si>
  <si>
    <t>IMP</t>
  </si>
  <si>
    <t>EXP</t>
  </si>
  <si>
    <t>Non Energy</t>
  </si>
  <si>
    <t>NRG</t>
  </si>
  <si>
    <t>Sector Name</t>
  </si>
  <si>
    <t>Commodity</t>
  </si>
  <si>
    <t>Description</t>
  </si>
  <si>
    <t>PJ</t>
  </si>
  <si>
    <t>Default Unit</t>
  </si>
  <si>
    <t>Currency Unit</t>
  </si>
  <si>
    <t>ACT_BND</t>
  </si>
  <si>
    <t>Attribute</t>
  </si>
  <si>
    <t>*</t>
  </si>
  <si>
    <t>Demand Commodity Name</t>
  </si>
  <si>
    <t>DEM</t>
  </si>
  <si>
    <t>Electricity</t>
  </si>
  <si>
    <t>*Units</t>
  </si>
  <si>
    <t>Annual Production Bound</t>
  </si>
  <si>
    <t>Cost</t>
  </si>
  <si>
    <t>Year</t>
  </si>
  <si>
    <t>*Unit</t>
  </si>
  <si>
    <t>Demand Unit</t>
  </si>
  <si>
    <t>User inputs</t>
  </si>
  <si>
    <t>Linked to the Energy Balance</t>
  </si>
  <si>
    <t>UP</t>
  </si>
  <si>
    <t>Type</t>
  </si>
  <si>
    <t>Existing</t>
  </si>
  <si>
    <t>E</t>
  </si>
  <si>
    <t>STOCK</t>
  </si>
  <si>
    <t>EFF</t>
  </si>
  <si>
    <t>AFA</t>
  </si>
  <si>
    <t>INVCOST</t>
  </si>
  <si>
    <t>FIXOM</t>
  </si>
  <si>
    <t>LIFE</t>
  </si>
  <si>
    <t>Existing Installed Capacity</t>
  </si>
  <si>
    <t>Efficiency</t>
  </si>
  <si>
    <t>Utilisation Factor</t>
  </si>
  <si>
    <t>Invesctment Cost</t>
  </si>
  <si>
    <t>Fixed O&amp;M Cost</t>
  </si>
  <si>
    <t>Years</t>
  </si>
  <si>
    <t>DMD</t>
  </si>
  <si>
    <t>TPS</t>
  </si>
  <si>
    <t>Total Primary Supply</t>
  </si>
  <si>
    <t>Lifetime</t>
  </si>
  <si>
    <t>Name</t>
  </si>
  <si>
    <t>Code</t>
  </si>
  <si>
    <t>Import</t>
  </si>
  <si>
    <t>Export</t>
  </si>
  <si>
    <t>Power</t>
  </si>
  <si>
    <t>PWR</t>
  </si>
  <si>
    <t>NOE</t>
  </si>
  <si>
    <t>Centralised Electricity</t>
  </si>
  <si>
    <t>Decentralised Electricity</t>
  </si>
  <si>
    <t>ELD</t>
  </si>
  <si>
    <t>Energy by Supply Source and Type</t>
  </si>
  <si>
    <t>H2GRY</t>
  </si>
  <si>
    <t>Hydrogen - Grey</t>
  </si>
  <si>
    <t>H2GRN</t>
  </si>
  <si>
    <t>Hydorgen Green</t>
  </si>
  <si>
    <t>H2</t>
  </si>
  <si>
    <t>Hydrogen</t>
  </si>
  <si>
    <t>Grid Electricity</t>
  </si>
  <si>
    <t>ELT</t>
  </si>
  <si>
    <t>GASNAT</t>
  </si>
  <si>
    <t xml:space="preserve">Natural Gas </t>
  </si>
  <si>
    <t>COACC</t>
  </si>
  <si>
    <t>Coking Coal</t>
  </si>
  <si>
    <t>COANCC</t>
  </si>
  <si>
    <t>Non Coking Coal</t>
  </si>
  <si>
    <t>COACCO</t>
  </si>
  <si>
    <t>Coke</t>
  </si>
  <si>
    <t>Coal</t>
  </si>
  <si>
    <t>RS 2015</t>
  </si>
  <si>
    <t>Demand Code</t>
  </si>
  <si>
    <t>of</t>
  </si>
  <si>
    <t>Domestic Production</t>
  </si>
  <si>
    <t>Demand Description</t>
  </si>
  <si>
    <t>PRE</t>
  </si>
  <si>
    <t>Steel Production</t>
  </si>
  <si>
    <t>Process</t>
  </si>
  <si>
    <t>DRI</t>
  </si>
  <si>
    <t>Direct Reduced Iron</t>
  </si>
  <si>
    <t>BF-BOF</t>
  </si>
  <si>
    <t>Blast Furnace Basic Oxygen Furnace</t>
  </si>
  <si>
    <t>IIS</t>
  </si>
  <si>
    <t>MT</t>
  </si>
  <si>
    <t>CAGR between 2000-23</t>
  </si>
  <si>
    <t>The demand for steel has been projected assuming the Production of the Steel is at par with the consumption</t>
  </si>
  <si>
    <t xml:space="preserve">Crude Steel Production </t>
  </si>
  <si>
    <t xml:space="preserve">Demand </t>
  </si>
  <si>
    <t>VASUDHA</t>
  </si>
  <si>
    <t>Share-I</t>
  </si>
  <si>
    <t>Generic Process</t>
  </si>
  <si>
    <t>Million Tonnes</t>
  </si>
  <si>
    <t>DTPS</t>
  </si>
  <si>
    <t>by</t>
  </si>
  <si>
    <t>DIIS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</si>
</sst>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\Te\x\t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1">
    <xf numFmtId="0" fontId="0" fillId="0" borderId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164" fontId="11" fillId="0" borderId="0" applyFont="0" applyFill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4" fillId="0" borderId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" fillId="0" borderId="0"/>
    <xf numFmtId="0" fontId="2" fillId="3" borderId="0" applyNumberFormat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9" fontId="1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3" borderId="0" applyNumberFormat="0" applyBorder="0" applyAlignment="0" applyProtection="0"/>
  </cellStyleXfs>
  <cellXfs count="54">
    <xf numFmtId="0" fontId="0" fillId="0" borderId="0" xfId="0"/>
    <xf numFmtId="0" fontId="6" fillId="0" borderId="0" xfId="0" applyFont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vertical="center"/>
    </xf>
    <xf numFmtId="0" fontId="7" fillId="0" borderId="0" xfId="0" applyFont="1"/>
    <xf numFmtId="0" fontId="7" fillId="0" borderId="0" xfId="8" applyFont="1" applyAlignment="1">
      <alignment horizontal="left"/>
    </xf>
    <xf numFmtId="1" fontId="0" fillId="0" borderId="0" xfId="0" applyNumberFormat="1"/>
    <xf numFmtId="0" fontId="12" fillId="4" borderId="0" xfId="2"/>
    <xf numFmtId="0" fontId="15" fillId="7" borderId="0" xfId="4" applyFont="1" applyFill="1"/>
    <xf numFmtId="0" fontId="16" fillId="3" borderId="2" xfId="1" applyFont="1" applyBorder="1" applyAlignment="1">
      <alignment horizontal="center" wrapText="1"/>
    </xf>
    <xf numFmtId="0" fontId="16" fillId="3" borderId="2" xfId="1" applyFont="1" applyBorder="1" applyAlignment="1">
      <alignment horizontal="left" wrapText="1"/>
    </xf>
    <xf numFmtId="0" fontId="16" fillId="3" borderId="1" xfId="1" applyFont="1" applyBorder="1" applyAlignment="1">
      <alignment horizontal="left" wrapText="1"/>
    </xf>
    <xf numFmtId="0" fontId="0" fillId="0" borderId="0" xfId="0" applyAlignment="1">
      <alignment wrapText="1"/>
    </xf>
    <xf numFmtId="0" fontId="12" fillId="4" borderId="0" xfId="2" applyAlignment="1">
      <alignment wrapText="1"/>
    </xf>
    <xf numFmtId="0" fontId="5" fillId="0" borderId="0" xfId="0" applyFont="1"/>
    <xf numFmtId="1" fontId="6" fillId="0" borderId="0" xfId="6" applyNumberFormat="1"/>
    <xf numFmtId="0" fontId="6" fillId="0" borderId="4" xfId="0" applyFont="1" applyBorder="1"/>
    <xf numFmtId="0" fontId="0" fillId="8" borderId="0" xfId="0" applyFill="1"/>
    <xf numFmtId="1" fontId="6" fillId="9" borderId="0" xfId="0" applyNumberFormat="1" applyFont="1" applyFill="1"/>
    <xf numFmtId="0" fontId="0" fillId="9" borderId="0" xfId="0" applyFill="1"/>
    <xf numFmtId="0" fontId="6" fillId="8" borderId="0" xfId="5" applyFont="1" applyFill="1"/>
    <xf numFmtId="2" fontId="6" fillId="8" borderId="0" xfId="0" applyNumberFormat="1" applyFont="1" applyFill="1"/>
    <xf numFmtId="0" fontId="15" fillId="7" borderId="0" xfId="4" applyFont="1" applyFill="1" applyAlignment="1">
      <alignment wrapText="1"/>
    </xf>
    <xf numFmtId="0" fontId="15" fillId="0" borderId="0" xfId="4" applyFont="1" applyFill="1"/>
    <xf numFmtId="0" fontId="6" fillId="0" borderId="0" xfId="8" applyAlignment="1">
      <alignment horizontal="left"/>
    </xf>
    <xf numFmtId="0" fontId="6" fillId="0" borderId="0" xfId="8" applyAlignment="1">
      <alignment horizontal="right"/>
    </xf>
    <xf numFmtId="0" fontId="17" fillId="0" borderId="0" xfId="0" applyFont="1"/>
    <xf numFmtId="0" fontId="5" fillId="2" borderId="1" xfId="8" applyFont="1" applyFill="1" applyBorder="1" applyAlignment="1">
      <alignment horizontal="left" vertical="center"/>
    </xf>
    <xf numFmtId="0" fontId="16" fillId="3" borderId="5" xfId="1" applyFont="1" applyBorder="1" applyAlignment="1">
      <alignment horizontal="center" wrapText="1"/>
    </xf>
    <xf numFmtId="2" fontId="0" fillId="8" borderId="0" xfId="0" applyNumberFormat="1" applyFill="1"/>
    <xf numFmtId="2" fontId="0" fillId="0" borderId="0" xfId="0" applyNumberFormat="1"/>
    <xf numFmtId="0" fontId="16" fillId="3" borderId="3" xfId="1" applyFont="1" applyBorder="1" applyAlignment="1">
      <alignment horizontal="left" wrapText="1"/>
    </xf>
    <xf numFmtId="0" fontId="5" fillId="2" borderId="1" xfId="8" applyFont="1" applyFill="1" applyBorder="1" applyAlignment="1">
      <alignment horizontal="left" vertical="center" wrapText="1"/>
    </xf>
    <xf numFmtId="0" fontId="6" fillId="0" borderId="0" xfId="5" applyFont="1" applyFill="1"/>
    <xf numFmtId="2" fontId="6" fillId="0" borderId="0" xfId="0" applyNumberFormat="1" applyFont="1"/>
    <xf numFmtId="1" fontId="6" fillId="8" borderId="0" xfId="5" applyNumberFormat="1" applyFont="1" applyFill="1"/>
    <xf numFmtId="0" fontId="5" fillId="2" borderId="1" xfId="0" applyFont="1" applyFill="1" applyBorder="1" applyAlignment="1">
      <alignment horizontal="center"/>
    </xf>
    <xf numFmtId="165" fontId="7" fillId="0" borderId="0" xfId="0" applyNumberFormat="1" applyFont="1"/>
    <xf numFmtId="165" fontId="6" fillId="0" borderId="0" xfId="0" applyNumberFormat="1" applyFont="1"/>
    <xf numFmtId="165" fontId="5" fillId="2" borderId="1" xfId="0" applyNumberFormat="1" applyFont="1" applyFill="1" applyBorder="1" applyAlignment="1">
      <alignment horizontal="left"/>
    </xf>
    <xf numFmtId="165" fontId="5" fillId="2" borderId="3" xfId="0" applyNumberFormat="1" applyFont="1" applyFill="1" applyBorder="1" applyAlignment="1">
      <alignment horizontal="left"/>
    </xf>
    <xf numFmtId="165" fontId="16" fillId="3" borderId="2" xfId="1" applyNumberFormat="1" applyFont="1" applyBorder="1" applyAlignment="1">
      <alignment horizontal="left" wrapText="1"/>
    </xf>
    <xf numFmtId="165" fontId="0" fillId="0" borderId="0" xfId="0" applyNumberFormat="1"/>
    <xf numFmtId="165" fontId="16" fillId="3" borderId="2" xfId="1" applyNumberFormat="1" applyFont="1" applyBorder="1" applyAlignment="1">
      <alignment horizontal="center" wrapText="1"/>
    </xf>
    <xf numFmtId="0" fontId="3" fillId="0" borderId="0" xfId="20"/>
    <xf numFmtId="165" fontId="3" fillId="0" borderId="0" xfId="0" applyNumberFormat="1" applyFont="1"/>
    <xf numFmtId="0" fontId="3" fillId="0" borderId="0" xfId="0" applyFont="1"/>
    <xf numFmtId="0" fontId="3" fillId="0" borderId="4" xfId="0" applyFont="1" applyBorder="1"/>
    <xf numFmtId="0" fontId="19" fillId="0" borderId="0" xfId="0" applyFont="1"/>
    <xf numFmtId="2" fontId="19" fillId="0" borderId="0" xfId="0" applyNumberFormat="1" applyFont="1"/>
    <xf numFmtId="0" fontId="16" fillId="3" borderId="0" xfId="1" applyFont="1" applyBorder="1" applyAlignment="1">
      <alignment horizontal="left" wrapText="1"/>
    </xf>
    <xf numFmtId="0" fontId="16" fillId="3" borderId="0" xfId="1" applyFont="1" applyBorder="1" applyAlignment="1">
      <alignment horizontal="center" wrapText="1"/>
    </xf>
    <xf numFmtId="0" fontId="5" fillId="2" borderId="0" xfId="8" applyFont="1" applyFill="1" applyAlignment="1">
      <alignment horizontal="left" vertical="center" wrapText="1"/>
    </xf>
    <xf numFmtId="0" fontId="5" fillId="0" borderId="0" xfId="0" applyFont="1" applyAlignment="1">
      <alignment horizontal="center"/>
    </xf>
  </cellXfs>
  <cellStyles count="31">
    <cellStyle name="20% - Accent5" xfId="1" builtinId="46"/>
    <cellStyle name="20% - Accent5 2" xfId="17" xr:uid="{31757489-FEFA-449A-A288-159658577717}"/>
    <cellStyle name="20% - Accent5 3" xfId="30" xr:uid="{087D59E7-4659-4B24-B996-DF5F77E683A8}"/>
    <cellStyle name="Accent2" xfId="2" builtinId="33"/>
    <cellStyle name="Comma 2" xfId="3" xr:uid="{00000000-0005-0000-0000-000004000000}"/>
    <cellStyle name="Comma 2 2" xfId="18" xr:uid="{992F3F54-BB44-4021-B091-4DBD5F448EEB}"/>
    <cellStyle name="Good" xfId="4" builtinId="26"/>
    <cellStyle name="Neutral" xfId="5" builtinId="28"/>
    <cellStyle name="Normal" xfId="0" builtinId="0"/>
    <cellStyle name="Normal 10" xfId="6" xr:uid="{00000000-0005-0000-0000-000009000000}"/>
    <cellStyle name="Normal 10 2" xfId="19" xr:uid="{5EA17536-A712-4781-BCCF-ECAF33BF8BC7}"/>
    <cellStyle name="Normal 2" xfId="7" xr:uid="{00000000-0005-0000-0000-00000A000000}"/>
    <cellStyle name="Normal 2 2" xfId="20" xr:uid="{7CCD0894-C5F5-4C40-B0A7-C63083B598FB}"/>
    <cellStyle name="Normal 3" xfId="29" xr:uid="{C5A0DF30-3AC8-4326-BF9C-62EA06172141}"/>
    <cellStyle name="Normal 4" xfId="8" xr:uid="{00000000-0005-0000-0000-00000B000000}"/>
    <cellStyle name="Normal 4 2" xfId="9" xr:uid="{00000000-0005-0000-0000-00000C000000}"/>
    <cellStyle name="Normal 4 2 2" xfId="22" xr:uid="{D2ED2190-9585-4E0D-B1BF-2666A5D955EF}"/>
    <cellStyle name="Normal 4 3" xfId="21" xr:uid="{B4CC5CDE-9B48-4884-A55D-FAF2CCC9E0C1}"/>
    <cellStyle name="Normal 8" xfId="10" xr:uid="{00000000-0005-0000-0000-00000D000000}"/>
    <cellStyle name="Normal 8 2" xfId="23" xr:uid="{5BD2B853-133D-4D16-BC10-146423763DB9}"/>
    <cellStyle name="Normal 9 2" xfId="11" xr:uid="{00000000-0005-0000-0000-00000E000000}"/>
    <cellStyle name="Normal 9 2 2" xfId="24" xr:uid="{35EF86F0-C879-4B2F-B6FC-19AD89FDFA92}"/>
    <cellStyle name="Normale_B2020" xfId="12" xr:uid="{00000000-0005-0000-0000-00000F000000}"/>
    <cellStyle name="Percent 2" xfId="13" xr:uid="{00000000-0005-0000-0000-000011000000}"/>
    <cellStyle name="Percent 2 2" xfId="26" xr:uid="{2FE97164-82E7-4FA2-8926-A7BFE3C6AA9F}"/>
    <cellStyle name="Percent 3" xfId="14" xr:uid="{00000000-0005-0000-0000-000012000000}"/>
    <cellStyle name="Percent 3 2" xfId="27" xr:uid="{371B735E-ABC9-4C25-BBF8-16A9CA2AF31F}"/>
    <cellStyle name="Percent 4" xfId="15" xr:uid="{00000000-0005-0000-0000-000013000000}"/>
    <cellStyle name="Percent 4 2" xfId="28" xr:uid="{7844C6FD-8CE1-4C55-9B62-6B4D09A64D22}"/>
    <cellStyle name="Percent 5" xfId="25" xr:uid="{C2C75864-05DE-416D-AF41-9F9069182A66}"/>
    <cellStyle name="Standard_Sce_D_Extraction" xfId="16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173354</xdr:colOff>
      <xdr:row>14</xdr:row>
      <xdr:rowOff>144780</xdr:rowOff>
    </xdr:from>
    <xdr:to>
      <xdr:col>18</xdr:col>
      <xdr:colOff>57254</xdr:colOff>
      <xdr:row>19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A526C4-1FCA-4856-8834-3BCE914C093D}"/>
            </a:ext>
          </a:extLst>
        </xdr:cNvPr>
        <xdr:cNvSpPr txBox="1"/>
      </xdr:nvSpPr>
      <xdr:spPr>
        <a:xfrm>
          <a:off x="6678929" y="3145155"/>
          <a:ext cx="7141950" cy="8077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total primary supply coal demand commodity and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total primary supply coal demand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</xdr:colOff>
      <xdr:row>14</xdr:row>
      <xdr:rowOff>144780</xdr:rowOff>
    </xdr:from>
    <xdr:to>
      <xdr:col>4</xdr:col>
      <xdr:colOff>512435</xdr:colOff>
      <xdr:row>18</xdr:row>
      <xdr:rowOff>43815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6FA24F-8A75-4C94-AE32-6D4C54F470CF}"/>
            </a:ext>
          </a:extLst>
        </xdr:cNvPr>
        <xdr:cNvSpPr txBox="1"/>
      </xdr:nvSpPr>
      <xdr:spPr>
        <a:xfrm>
          <a:off x="91440" y="2773680"/>
          <a:ext cx="3794760" cy="5695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 the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base year. The COA demand defined in this sheet is the sum of Conversion and Final coal. consumption.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34755bbb9c185c3/TIMES%20-%20MESSAGE%202023%20onwards/IESSV3/IESS2047_Version_3.0.xlsx" TargetMode="External"/><Relationship Id="rId1" Type="http://schemas.openxmlformats.org/officeDocument/2006/relationships/externalLinkPath" Target="https://d.docs.live.net/234755bbb9c185c3/TIMES%20-%20MESSAGE%202023%20onwards/IESSV3/IESS2047_Version_3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a8a89c3d47764d4/Work/Projects/IESS_Niti/EXCEL/Revised/Modified%20Excel%20Sheet-Coo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Page"/>
      <sheetName val="IESS V3 Main Sheet"/>
      <sheetName val="Data Update Sheet"/>
      <sheetName val="Target Year Input"/>
      <sheetName val="User-defined drivers"/>
      <sheetName val="Control"/>
      <sheetName val="IESS V3 Results"/>
      <sheetName val="Intermediate output"/>
      <sheetName val="My Story"/>
      <sheetName val="Unit Preferences"/>
      <sheetName val="Structure of the model"/>
      <sheetName val="Cost - Import + Production"/>
      <sheetName val="Cost - Power Sector and H2"/>
      <sheetName val="Sector-wise Energy Costs"/>
      <sheetName val="I.a"/>
      <sheetName val="I.b"/>
      <sheetName val="I.c"/>
      <sheetName val="II"/>
      <sheetName val="III"/>
      <sheetName val="IV.a"/>
      <sheetName val="IV.b"/>
      <sheetName val="IV.c.1"/>
      <sheetName val="IV.c.2"/>
      <sheetName val="IV.d"/>
      <sheetName val="IV.e"/>
      <sheetName val="V.a"/>
      <sheetName val="V.b"/>
      <sheetName val="V.c"/>
      <sheetName val="VI"/>
      <sheetName val="VII.a"/>
      <sheetName val="VII.b"/>
      <sheetName val="VII.C"/>
      <sheetName val="VIII"/>
      <sheetName val="GDP"/>
      <sheetName val="X.a"/>
      <sheetName val="X.b"/>
      <sheetName val="XI"/>
      <sheetName val="XII.a"/>
      <sheetName val="XII.b"/>
      <sheetName val="XIII.a"/>
      <sheetName val="XIV"/>
      <sheetName val="XV.a"/>
      <sheetName val="XV.b"/>
      <sheetName val="XV.b.o"/>
      <sheetName val="XV.c"/>
      <sheetName val="XVI"/>
      <sheetName val="XVII.a"/>
      <sheetName val="XVII.b"/>
      <sheetName val="Global assumptions"/>
      <sheetName val="Past Data"/>
      <sheetName val="2016-17 Static"/>
      <sheetName val="2017-18 Static"/>
      <sheetName val="2018-19 Static"/>
      <sheetName val="2019-20 Static"/>
      <sheetName val="2020-21 Static"/>
      <sheetName val="Base Year"/>
      <sheetName val="2022"/>
      <sheetName val="2027"/>
      <sheetName val="2032"/>
      <sheetName val="2037"/>
      <sheetName val="2042"/>
      <sheetName val="2047"/>
      <sheetName val="Target Year"/>
      <sheetName val="Grid_Balance_V2"/>
      <sheetName val="Grid balance"/>
      <sheetName val="Conversions"/>
      <sheetName val="Land Use"/>
      <sheetName val="Water Use"/>
      <sheetName val="CostAbsolute"/>
      <sheetName val="Flows"/>
      <sheetName val="IESS2047_Version_3.0"/>
    </sheetNames>
    <sheetDataSet>
      <sheetData sheetId="0" refreshError="1"/>
      <sheetData sheetId="1">
        <row r="12">
          <cell r="E12">
            <v>2</v>
          </cell>
        </row>
      </sheetData>
      <sheetData sheetId="2" refreshError="1"/>
      <sheetData sheetId="3">
        <row r="3">
          <cell r="E3">
            <v>2020</v>
          </cell>
        </row>
        <row r="6">
          <cell r="E6">
            <v>2030</v>
          </cell>
        </row>
        <row r="10">
          <cell r="E10">
            <v>1</v>
          </cell>
        </row>
      </sheetData>
      <sheetData sheetId="4" refreshError="1"/>
      <sheetData sheetId="5">
        <row r="5">
          <cell r="E5">
            <v>1</v>
          </cell>
        </row>
        <row r="6">
          <cell r="E6">
            <v>0</v>
          </cell>
        </row>
        <row r="7">
          <cell r="E7">
            <v>2</v>
          </cell>
        </row>
        <row r="9">
          <cell r="E9">
            <v>3</v>
          </cell>
        </row>
        <row r="10">
          <cell r="E10">
            <v>3</v>
          </cell>
        </row>
        <row r="11">
          <cell r="E11">
            <v>3</v>
          </cell>
        </row>
        <row r="12">
          <cell r="E12">
            <v>3</v>
          </cell>
        </row>
        <row r="13">
          <cell r="E13">
            <v>3</v>
          </cell>
        </row>
        <row r="14">
          <cell r="E14">
            <v>2</v>
          </cell>
        </row>
        <row r="15">
          <cell r="E15">
            <v>3</v>
          </cell>
        </row>
        <row r="16">
          <cell r="E16">
            <v>2</v>
          </cell>
        </row>
        <row r="17">
          <cell r="E17">
            <v>2</v>
          </cell>
        </row>
        <row r="18">
          <cell r="E18">
            <v>2</v>
          </cell>
        </row>
        <row r="19">
          <cell r="E19">
            <v>2</v>
          </cell>
        </row>
        <row r="21">
          <cell r="E21">
            <v>2</v>
          </cell>
        </row>
        <row r="23">
          <cell r="E23">
            <v>2</v>
          </cell>
        </row>
        <row r="24">
          <cell r="E24">
            <v>2</v>
          </cell>
        </row>
        <row r="25">
          <cell r="E25">
            <v>3</v>
          </cell>
        </row>
        <row r="27">
          <cell r="E27">
            <v>3</v>
          </cell>
        </row>
        <row r="28">
          <cell r="E28">
            <v>2</v>
          </cell>
        </row>
        <row r="29">
          <cell r="E29">
            <v>3</v>
          </cell>
        </row>
        <row r="31">
          <cell r="E31">
            <v>3</v>
          </cell>
        </row>
        <row r="33">
          <cell r="E33">
            <v>2</v>
          </cell>
        </row>
        <row r="34">
          <cell r="E34">
            <v>3</v>
          </cell>
        </row>
        <row r="35">
          <cell r="E35">
            <v>3</v>
          </cell>
        </row>
        <row r="36">
          <cell r="E36">
            <v>3</v>
          </cell>
        </row>
        <row r="38">
          <cell r="E38">
            <v>2</v>
          </cell>
        </row>
        <row r="39">
          <cell r="E39">
            <v>3</v>
          </cell>
        </row>
        <row r="40">
          <cell r="E40">
            <v>2</v>
          </cell>
        </row>
        <row r="41">
          <cell r="E41">
            <v>3</v>
          </cell>
        </row>
        <row r="42">
          <cell r="E42">
            <v>3</v>
          </cell>
        </row>
        <row r="43">
          <cell r="E43">
            <v>2</v>
          </cell>
        </row>
        <row r="44">
          <cell r="E44">
            <v>2</v>
          </cell>
        </row>
        <row r="45">
          <cell r="E45">
            <v>2</v>
          </cell>
        </row>
        <row r="46">
          <cell r="E46">
            <v>3</v>
          </cell>
        </row>
        <row r="47">
          <cell r="E47">
            <v>3</v>
          </cell>
        </row>
        <row r="48">
          <cell r="E48">
            <v>3</v>
          </cell>
        </row>
        <row r="49">
          <cell r="E49">
            <v>3</v>
          </cell>
        </row>
        <row r="50">
          <cell r="E50">
            <v>2</v>
          </cell>
        </row>
        <row r="51">
          <cell r="E51">
            <v>4</v>
          </cell>
        </row>
        <row r="53">
          <cell r="E53">
            <v>2</v>
          </cell>
        </row>
        <row r="54">
          <cell r="E54">
            <v>3</v>
          </cell>
        </row>
        <row r="55">
          <cell r="E55">
            <v>2</v>
          </cell>
        </row>
        <row r="57">
          <cell r="E57">
            <v>3</v>
          </cell>
        </row>
        <row r="59">
          <cell r="E59">
            <v>2</v>
          </cell>
        </row>
        <row r="60">
          <cell r="E60">
            <v>2</v>
          </cell>
        </row>
        <row r="61">
          <cell r="E61">
            <v>2</v>
          </cell>
        </row>
        <row r="62">
          <cell r="E62">
            <v>2</v>
          </cell>
        </row>
      </sheetData>
      <sheetData sheetId="6" refreshError="1"/>
      <sheetData sheetId="7" refreshError="1"/>
      <sheetData sheetId="8" refreshError="1"/>
      <sheetData sheetId="9">
        <row r="3">
          <cell r="C3" t="str">
            <v>Mtoe</v>
          </cell>
          <cell r="F3">
            <v>4.1868E+16</v>
          </cell>
        </row>
        <row r="5">
          <cell r="C5" t="str">
            <v>GW</v>
          </cell>
          <cell r="F5">
            <v>999999999.99999988</v>
          </cell>
        </row>
        <row r="7">
          <cell r="C7" t="str">
            <v>M ha</v>
          </cell>
        </row>
        <row r="9">
          <cell r="C9" t="str">
            <v>INR Billion</v>
          </cell>
        </row>
        <row r="11">
          <cell r="C11" t="str">
            <v>MCM</v>
          </cell>
        </row>
      </sheetData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14">
          <cell r="B14" t="str">
            <v>Sr No.</v>
          </cell>
          <cell r="C14" t="str">
            <v>Year</v>
          </cell>
          <cell r="D14" t="str">
            <v>Capacity</v>
          </cell>
          <cell r="E14" t="str">
            <v>GW</v>
          </cell>
        </row>
        <row r="15">
          <cell r="B15">
            <v>1</v>
          </cell>
          <cell r="C15">
            <v>2011</v>
          </cell>
          <cell r="D15">
            <v>3</v>
          </cell>
          <cell r="E15">
            <v>3.0000000000000001E-3</v>
          </cell>
        </row>
        <row r="16">
          <cell r="B16">
            <v>2</v>
          </cell>
          <cell r="C16">
            <v>2012</v>
          </cell>
          <cell r="D16">
            <v>4</v>
          </cell>
          <cell r="E16">
            <v>4.0000000000000001E-3</v>
          </cell>
        </row>
        <row r="17">
          <cell r="B17">
            <v>3</v>
          </cell>
          <cell r="C17">
            <v>2013</v>
          </cell>
          <cell r="D17">
            <v>54</v>
          </cell>
          <cell r="E17">
            <v>5.3999999999999999E-2</v>
          </cell>
        </row>
        <row r="18">
          <cell r="B18">
            <v>4</v>
          </cell>
          <cell r="C18">
            <v>2014</v>
          </cell>
          <cell r="D18">
            <v>229</v>
          </cell>
          <cell r="E18">
            <v>0.22900000000000001</v>
          </cell>
        </row>
        <row r="19">
          <cell r="B19">
            <v>5</v>
          </cell>
          <cell r="C19">
            <v>2015</v>
          </cell>
          <cell r="D19">
            <v>229</v>
          </cell>
          <cell r="E19">
            <v>0.22900000000000001</v>
          </cell>
        </row>
        <row r="20">
          <cell r="B20">
            <v>6</v>
          </cell>
          <cell r="C20">
            <v>2016</v>
          </cell>
          <cell r="D20">
            <v>229</v>
          </cell>
          <cell r="E20">
            <v>0.22900000000000001</v>
          </cell>
        </row>
        <row r="21">
          <cell r="B21">
            <v>7</v>
          </cell>
          <cell r="C21">
            <v>2017</v>
          </cell>
          <cell r="D21">
            <v>229</v>
          </cell>
          <cell r="E21">
            <v>0.22900000000000001</v>
          </cell>
        </row>
        <row r="22">
          <cell r="B22">
            <v>8</v>
          </cell>
          <cell r="C22">
            <v>2018</v>
          </cell>
          <cell r="D22">
            <v>229</v>
          </cell>
          <cell r="E22">
            <v>0.22900000000000001</v>
          </cell>
        </row>
        <row r="23">
          <cell r="B23">
            <v>9</v>
          </cell>
          <cell r="C23">
            <v>2019</v>
          </cell>
          <cell r="D23">
            <v>229</v>
          </cell>
          <cell r="E23">
            <v>0.22900000000000001</v>
          </cell>
        </row>
        <row r="24">
          <cell r="B24">
            <v>10</v>
          </cell>
          <cell r="C24">
            <v>2020</v>
          </cell>
          <cell r="D24">
            <v>229</v>
          </cell>
          <cell r="E24">
            <v>0.22900000000000001</v>
          </cell>
        </row>
      </sheetData>
      <sheetData sheetId="21" refreshError="1"/>
      <sheetData sheetId="22" refreshError="1"/>
      <sheetData sheetId="23">
        <row r="13">
          <cell r="B13" t="str">
            <v>Sr No.</v>
          </cell>
          <cell r="C13" t="str">
            <v>Year</v>
          </cell>
          <cell r="D13" t="str">
            <v>Capacity</v>
          </cell>
          <cell r="E13" t="str">
            <v>Generation (Mtoe)</v>
          </cell>
          <cell r="F13" t="str">
            <v>PLF</v>
          </cell>
          <cell r="G13" t="str">
            <v>GW</v>
          </cell>
        </row>
        <row r="14">
          <cell r="B14">
            <v>1</v>
          </cell>
          <cell r="C14">
            <v>2009</v>
          </cell>
          <cell r="D14">
            <v>2160</v>
          </cell>
          <cell r="E14" t="str">
            <v>-</v>
          </cell>
          <cell r="F14" t="str">
            <v>-</v>
          </cell>
          <cell r="G14">
            <v>2.16</v>
          </cell>
        </row>
        <row r="15">
          <cell r="B15">
            <v>2</v>
          </cell>
          <cell r="C15">
            <v>2010</v>
          </cell>
          <cell r="D15">
            <v>2605</v>
          </cell>
          <cell r="E15" t="str">
            <v>-</v>
          </cell>
          <cell r="F15" t="str">
            <v>-</v>
          </cell>
          <cell r="G15">
            <v>2.605</v>
          </cell>
        </row>
        <row r="16">
          <cell r="B16">
            <v>3</v>
          </cell>
          <cell r="C16">
            <v>2011</v>
          </cell>
          <cell r="D16">
            <v>2913</v>
          </cell>
          <cell r="E16" t="str">
            <v>-</v>
          </cell>
          <cell r="F16" t="str">
            <v>-</v>
          </cell>
          <cell r="G16">
            <v>2.9130000000000003</v>
          </cell>
        </row>
        <row r="17">
          <cell r="B17">
            <v>4</v>
          </cell>
          <cell r="C17">
            <v>2012</v>
          </cell>
          <cell r="D17">
            <v>3411</v>
          </cell>
          <cell r="E17" t="str">
            <v>-</v>
          </cell>
          <cell r="F17" t="str">
            <v>-</v>
          </cell>
          <cell r="G17">
            <v>3.411</v>
          </cell>
        </row>
        <row r="18">
          <cell r="B18">
            <v>5</v>
          </cell>
          <cell r="C18">
            <v>2013</v>
          </cell>
          <cell r="D18">
            <v>3643</v>
          </cell>
          <cell r="E18" t="str">
            <v>-</v>
          </cell>
          <cell r="F18" t="str">
            <v>-</v>
          </cell>
          <cell r="G18">
            <v>3.6430000000000002</v>
          </cell>
        </row>
        <row r="19">
          <cell r="B19">
            <v>6</v>
          </cell>
          <cell r="C19">
            <v>2014</v>
          </cell>
          <cell r="D19">
            <v>3804</v>
          </cell>
          <cell r="E19" t="str">
            <v>-</v>
          </cell>
          <cell r="F19" t="str">
            <v>-</v>
          </cell>
          <cell r="G19">
            <v>3.8040000000000003</v>
          </cell>
        </row>
        <row r="20">
          <cell r="B20">
            <v>7</v>
          </cell>
          <cell r="C20">
            <v>2015</v>
          </cell>
          <cell r="D20">
            <v>4055</v>
          </cell>
          <cell r="E20" t="str">
            <v>-</v>
          </cell>
          <cell r="F20" t="str">
            <v>-</v>
          </cell>
          <cell r="G20">
            <v>4.0549999999999997</v>
          </cell>
        </row>
        <row r="21">
          <cell r="B21">
            <v>8</v>
          </cell>
          <cell r="C21">
            <v>2016</v>
          </cell>
          <cell r="D21">
            <v>4273</v>
          </cell>
          <cell r="E21">
            <v>0.71831470335339642</v>
          </cell>
          <cell r="F21">
            <v>0.22302837073583723</v>
          </cell>
          <cell r="G21">
            <v>4.2729999999999997</v>
          </cell>
        </row>
        <row r="22">
          <cell r="B22">
            <v>9</v>
          </cell>
          <cell r="C22">
            <v>2017</v>
          </cell>
          <cell r="D22">
            <v>4380</v>
          </cell>
          <cell r="E22">
            <v>0.68142734307824593</v>
          </cell>
          <cell r="F22">
            <v>0.20640665418590093</v>
          </cell>
          <cell r="G22">
            <v>4.38</v>
          </cell>
        </row>
        <row r="23">
          <cell r="B23">
            <v>10</v>
          </cell>
          <cell r="C23">
            <v>2018</v>
          </cell>
          <cell r="D23">
            <v>4486</v>
          </cell>
          <cell r="E23">
            <v>0.66130696474634565</v>
          </cell>
          <cell r="F23">
            <v>0.19557893449837452</v>
          </cell>
          <cell r="G23">
            <v>4.4859999999999998</v>
          </cell>
        </row>
        <row r="24">
          <cell r="B24">
            <v>11</v>
          </cell>
          <cell r="C24">
            <v>2019</v>
          </cell>
          <cell r="D24">
            <v>4593</v>
          </cell>
          <cell r="E24">
            <v>0.74823731728288911</v>
          </cell>
          <cell r="F24">
            <v>0.21613304257950094</v>
          </cell>
          <cell r="G24">
            <v>4.593</v>
          </cell>
        </row>
        <row r="25">
          <cell r="B25">
            <v>12</v>
          </cell>
          <cell r="C25">
            <v>2020</v>
          </cell>
          <cell r="D25">
            <v>4683</v>
          </cell>
          <cell r="E25">
            <v>0.80533104041272574</v>
          </cell>
          <cell r="F25">
            <v>0.22815423226100848</v>
          </cell>
          <cell r="G25">
            <v>4.6829999999999998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12">
          <cell r="B12" t="str">
            <v>Sr. No.</v>
          </cell>
          <cell r="C12" t="str">
            <v>Year</v>
          </cell>
          <cell r="D12" t="str">
            <v>Proven reserves: coal</v>
          </cell>
          <cell r="E12" t="str">
            <v>Proven reserves: Lignite</v>
          </cell>
          <cell r="F12" t="str">
            <v>Coal production</v>
          </cell>
          <cell r="G12" t="str">
            <v>Lignite production</v>
          </cell>
        </row>
        <row r="13">
          <cell r="B13">
            <v>1</v>
          </cell>
          <cell r="C13">
            <v>2010</v>
          </cell>
          <cell r="D13">
            <v>109798</v>
          </cell>
          <cell r="E13">
            <v>6146</v>
          </cell>
          <cell r="F13">
            <v>532.04200000000003</v>
          </cell>
          <cell r="G13">
            <v>34.070999999999998</v>
          </cell>
        </row>
        <row r="14">
          <cell r="B14">
            <v>2</v>
          </cell>
          <cell r="C14">
            <v>2011</v>
          </cell>
          <cell r="D14">
            <v>114002</v>
          </cell>
          <cell r="E14">
            <v>6146</v>
          </cell>
          <cell r="F14">
            <v>532.69399999999996</v>
          </cell>
          <cell r="G14">
            <v>37.732999999999997</v>
          </cell>
        </row>
        <row r="15">
          <cell r="B15">
            <v>3</v>
          </cell>
          <cell r="C15">
            <v>2012</v>
          </cell>
          <cell r="D15">
            <v>118144</v>
          </cell>
          <cell r="E15">
            <v>6181</v>
          </cell>
          <cell r="F15">
            <v>539.95000000000005</v>
          </cell>
          <cell r="G15">
            <v>42.332000000000001</v>
          </cell>
        </row>
        <row r="16">
          <cell r="B16">
            <v>4</v>
          </cell>
          <cell r="C16">
            <v>2013</v>
          </cell>
          <cell r="D16">
            <v>123181</v>
          </cell>
          <cell r="E16">
            <v>6181</v>
          </cell>
          <cell r="F16">
            <v>556.40200000000004</v>
          </cell>
          <cell r="G16">
            <v>46.453000000000003</v>
          </cell>
        </row>
        <row r="17">
          <cell r="B17">
            <v>5</v>
          </cell>
          <cell r="C17">
            <v>2014</v>
          </cell>
          <cell r="D17">
            <v>125908</v>
          </cell>
          <cell r="E17">
            <v>6181</v>
          </cell>
          <cell r="F17">
            <v>565.76499999999999</v>
          </cell>
          <cell r="G17">
            <v>44.271000000000001</v>
          </cell>
        </row>
        <row r="18">
          <cell r="B18">
            <v>6</v>
          </cell>
          <cell r="C18">
            <v>2015</v>
          </cell>
          <cell r="D18">
            <v>131132</v>
          </cell>
          <cell r="E18">
            <v>6182</v>
          </cell>
          <cell r="F18">
            <v>609.17899999999997</v>
          </cell>
          <cell r="G18">
            <v>48.27</v>
          </cell>
        </row>
        <row r="19">
          <cell r="B19">
            <v>7</v>
          </cell>
          <cell r="C19">
            <v>2016</v>
          </cell>
          <cell r="D19">
            <v>138087</v>
          </cell>
          <cell r="E19">
            <v>6182</v>
          </cell>
          <cell r="F19">
            <v>639.23</v>
          </cell>
          <cell r="G19">
            <v>43.841999999999999</v>
          </cell>
        </row>
        <row r="20">
          <cell r="B20">
            <v>8</v>
          </cell>
          <cell r="C20">
            <v>2017</v>
          </cell>
          <cell r="D20">
            <v>143057</v>
          </cell>
          <cell r="E20">
            <v>6541</v>
          </cell>
          <cell r="F20">
            <v>657.86800000000005</v>
          </cell>
          <cell r="G20">
            <v>45.23</v>
          </cell>
        </row>
        <row r="21">
          <cell r="B21">
            <v>9</v>
          </cell>
          <cell r="C21">
            <v>2018</v>
          </cell>
          <cell r="D21">
            <v>148787</v>
          </cell>
          <cell r="E21">
            <v>6541</v>
          </cell>
          <cell r="F21">
            <v>675.4</v>
          </cell>
          <cell r="G21">
            <v>46.643999999999998</v>
          </cell>
        </row>
        <row r="22">
          <cell r="B22">
            <v>10</v>
          </cell>
          <cell r="C22">
            <v>2019</v>
          </cell>
          <cell r="D22">
            <v>155615</v>
          </cell>
          <cell r="E22">
            <v>6788</v>
          </cell>
          <cell r="F22">
            <v>728.71799999999996</v>
          </cell>
          <cell r="G22">
            <v>44.283000000000001</v>
          </cell>
        </row>
        <row r="23">
          <cell r="B23">
            <v>11</v>
          </cell>
          <cell r="C23">
            <v>2020</v>
          </cell>
          <cell r="D23">
            <v>163461</v>
          </cell>
          <cell r="E23">
            <v>6788</v>
          </cell>
          <cell r="F23">
            <v>730.87400000000002</v>
          </cell>
          <cell r="G23">
            <v>42.095999999999997</v>
          </cell>
        </row>
        <row r="118">
          <cell r="D118">
            <v>1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>
        <row r="45">
          <cell r="E45">
            <v>1</v>
          </cell>
        </row>
        <row r="96">
          <cell r="C96">
            <v>21</v>
          </cell>
        </row>
        <row r="97">
          <cell r="C97">
            <v>310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6">
          <cell r="B6" t="str">
            <v>PJ</v>
          </cell>
          <cell r="E6">
            <v>1000000000000000</v>
          </cell>
          <cell r="F6">
            <v>2.3884589662749593E-2</v>
          </cell>
        </row>
        <row r="7">
          <cell r="B7" t="str">
            <v>TJ</v>
          </cell>
          <cell r="E7">
            <v>1000000000000</v>
          </cell>
          <cell r="F7">
            <v>2.3884589662749594E-5</v>
          </cell>
        </row>
        <row r="8">
          <cell r="B8" t="str">
            <v>GJ</v>
          </cell>
          <cell r="E8">
            <v>1000000000</v>
          </cell>
          <cell r="F8">
            <v>2.3884589662749594E-8</v>
          </cell>
        </row>
        <row r="9">
          <cell r="B9" t="str">
            <v>J</v>
          </cell>
          <cell r="E9">
            <v>1</v>
          </cell>
          <cell r="F9">
            <v>2.3884589662749593E-17</v>
          </cell>
        </row>
        <row r="10">
          <cell r="B10" t="str">
            <v>MJ</v>
          </cell>
          <cell r="E10">
            <v>1000000</v>
          </cell>
          <cell r="F10">
            <v>2.3884589662749594E-11</v>
          </cell>
        </row>
        <row r="11">
          <cell r="B11" t="str">
            <v>Wh</v>
          </cell>
          <cell r="E11">
            <v>3600</v>
          </cell>
        </row>
        <row r="12">
          <cell r="B12" t="str">
            <v>kWh</v>
          </cell>
          <cell r="E12">
            <v>3600000</v>
          </cell>
          <cell r="F12">
            <v>8.5984522785898532E-11</v>
          </cell>
        </row>
        <row r="13">
          <cell r="B13" t="str">
            <v>kWh/p/d (UK)</v>
          </cell>
          <cell r="E13">
            <v>7.8894E+16</v>
          </cell>
        </row>
        <row r="14">
          <cell r="B14" t="str">
            <v>TWh</v>
          </cell>
          <cell r="E14">
            <v>3600000000000000</v>
          </cell>
          <cell r="F14">
            <v>8.5984522785898534E-2</v>
          </cell>
        </row>
        <row r="15">
          <cell r="B15" t="str">
            <v>GWh</v>
          </cell>
          <cell r="E15">
            <v>3600000000000</v>
          </cell>
          <cell r="F15">
            <v>8.5984522785898537E-5</v>
          </cell>
        </row>
        <row r="16">
          <cell r="B16" t="str">
            <v>MWh</v>
          </cell>
          <cell r="E16">
            <v>3600000000</v>
          </cell>
          <cell r="F16">
            <v>8.5984522785898541E-8</v>
          </cell>
        </row>
        <row r="17">
          <cell r="B17" t="str">
            <v>boe</v>
          </cell>
          <cell r="E17">
            <v>6110000000</v>
          </cell>
          <cell r="F17">
            <v>1.4593484283940001E-7</v>
          </cell>
        </row>
        <row r="18">
          <cell r="B18" t="str">
            <v>Mboe</v>
          </cell>
          <cell r="E18">
            <v>6110000000000000</v>
          </cell>
        </row>
        <row r="19">
          <cell r="B19" t="str">
            <v>toe</v>
          </cell>
          <cell r="E19">
            <v>41868000000</v>
          </cell>
          <cell r="F19">
            <v>9.9999999999999995E-7</v>
          </cell>
        </row>
        <row r="20">
          <cell r="B20" t="str">
            <v>ktoe</v>
          </cell>
          <cell r="E20">
            <v>41868000000000</v>
          </cell>
        </row>
        <row r="21">
          <cell r="B21" t="str">
            <v>Mtoe</v>
          </cell>
          <cell r="E21">
            <v>4.1868E+16</v>
          </cell>
          <cell r="F21">
            <v>1</v>
          </cell>
        </row>
        <row r="22">
          <cell r="B22" t="str">
            <v>Kgce</v>
          </cell>
          <cell r="E22">
            <v>15862000</v>
          </cell>
          <cell r="F22">
            <v>3.7885736123053404E-10</v>
          </cell>
        </row>
        <row r="23">
          <cell r="B23" t="str">
            <v>Kgcce</v>
          </cell>
          <cell r="E23">
            <v>20465000</v>
          </cell>
        </row>
        <row r="24">
          <cell r="B24" t="str">
            <v>Mtle</v>
          </cell>
          <cell r="E24">
            <v>1.0550736E+16</v>
          </cell>
          <cell r="F24">
            <v>0.252</v>
          </cell>
        </row>
        <row r="25">
          <cell r="B25" t="str">
            <v>tce</v>
          </cell>
          <cell r="E25">
            <v>15862000000</v>
          </cell>
          <cell r="F25">
            <v>3.7885736123053405E-7</v>
          </cell>
        </row>
        <row r="26">
          <cell r="B26" t="str">
            <v>tcce</v>
          </cell>
          <cell r="E26">
            <v>20465000000</v>
          </cell>
        </row>
        <row r="27">
          <cell r="B27" t="str">
            <v>Mtce</v>
          </cell>
          <cell r="E27">
            <v>1.5862E+16</v>
          </cell>
          <cell r="F27">
            <v>0.37885736123053404</v>
          </cell>
        </row>
        <row r="28">
          <cell r="B28" t="str">
            <v>Mtcce</v>
          </cell>
          <cell r="E28">
            <v>2.0465E+16</v>
          </cell>
          <cell r="F28">
            <v>0.48879812744817042</v>
          </cell>
        </row>
        <row r="29">
          <cell r="B29" t="str">
            <v>Btce</v>
          </cell>
          <cell r="E29">
            <v>1.5862E+19</v>
          </cell>
        </row>
        <row r="30">
          <cell r="B30" t="str">
            <v>Btcce</v>
          </cell>
          <cell r="E30">
            <v>2.0465E+19</v>
          </cell>
        </row>
        <row r="31">
          <cell r="B31" t="str">
            <v>Tice</v>
          </cell>
          <cell r="E31">
            <v>19486000000</v>
          </cell>
          <cell r="F31">
            <v>4.6541511416833859E-7</v>
          </cell>
        </row>
        <row r="32">
          <cell r="B32" t="str">
            <v>Ticce</v>
          </cell>
          <cell r="E32">
            <v>26430000000</v>
          </cell>
          <cell r="F32">
            <v>6.3126970478647178E-7</v>
          </cell>
        </row>
        <row r="33">
          <cell r="B33" t="str">
            <v>Mtice</v>
          </cell>
          <cell r="E33">
            <v>1.9486E+16</v>
          </cell>
          <cell r="F33">
            <v>0.46541511416833858</v>
          </cell>
        </row>
        <row r="34">
          <cell r="B34" t="str">
            <v>Mticce</v>
          </cell>
          <cell r="E34">
            <v>2.643E+16</v>
          </cell>
          <cell r="F34">
            <v>0.63126970478647182</v>
          </cell>
        </row>
        <row r="35">
          <cell r="B35" t="str">
            <v>therm</v>
          </cell>
          <cell r="E35">
            <v>105506136.12882091</v>
          </cell>
        </row>
        <row r="36">
          <cell r="B36" t="str">
            <v>Btu</v>
          </cell>
          <cell r="E36">
            <v>1055.0613612882091</v>
          </cell>
        </row>
        <row r="37">
          <cell r="B37" t="str">
            <v>mmBtu</v>
          </cell>
          <cell r="E37">
            <v>1055000000</v>
          </cell>
          <cell r="F37">
            <v>2.5198242094200823E-8</v>
          </cell>
        </row>
        <row r="38">
          <cell r="B38" t="str">
            <v>calorie</v>
          </cell>
          <cell r="E38">
            <v>4.1840000000000002</v>
          </cell>
          <cell r="F38">
            <v>9.9933123148944303E-17</v>
          </cell>
        </row>
        <row r="39">
          <cell r="B39" t="str">
            <v>GW y</v>
          </cell>
          <cell r="E39">
            <v>3.1556879999999996E+16</v>
          </cell>
        </row>
        <row r="40">
          <cell r="B40" t="str">
            <v>KGLPGe</v>
          </cell>
          <cell r="E40">
            <v>47300000</v>
          </cell>
          <cell r="F40">
            <v>1.1297410910480558E-9</v>
          </cell>
        </row>
        <row r="41">
          <cell r="B41" t="str">
            <v>TLPGe</v>
          </cell>
          <cell r="E41">
            <v>47300000000</v>
          </cell>
        </row>
        <row r="42">
          <cell r="B42" t="str">
            <v>kgb</v>
          </cell>
          <cell r="E42">
            <v>10400000</v>
          </cell>
          <cell r="F42">
            <v>2.4839973249259579E-10</v>
          </cell>
        </row>
        <row r="43">
          <cell r="B43" t="str">
            <v>tbe</v>
          </cell>
          <cell r="E43">
            <v>10400000000</v>
          </cell>
        </row>
        <row r="44">
          <cell r="B44" t="str">
            <v>latfe</v>
          </cell>
          <cell r="E44">
            <v>32720000</v>
          </cell>
          <cell r="F44">
            <v>7.8150377376516669E-10</v>
          </cell>
        </row>
        <row r="45">
          <cell r="B45" t="str">
            <v>lde</v>
          </cell>
          <cell r="E45">
            <v>35780000</v>
          </cell>
          <cell r="F45">
            <v>8.5459061813318045E-10</v>
          </cell>
        </row>
        <row r="46">
          <cell r="B46" t="str">
            <v>mtde</v>
          </cell>
          <cell r="E46">
            <v>4.3004807692307696E+16</v>
          </cell>
          <cell r="F46">
            <v>1.0271521852562266</v>
          </cell>
        </row>
        <row r="47">
          <cell r="B47" t="str">
            <v>lpe</v>
          </cell>
          <cell r="E47">
            <v>33509999.999999996</v>
          </cell>
          <cell r="F47">
            <v>8.0037259959873882E-10</v>
          </cell>
        </row>
        <row r="48">
          <cell r="B48" t="str">
            <v>lke</v>
          </cell>
          <cell r="E48">
            <v>36125000</v>
          </cell>
          <cell r="F48">
            <v>8.6283080156682913E-10</v>
          </cell>
        </row>
        <row r="49">
          <cell r="B49" t="str">
            <v>scm b</v>
          </cell>
          <cell r="E49">
            <v>22500000</v>
          </cell>
          <cell r="F49">
            <v>5.3740326741186582E-10</v>
          </cell>
        </row>
        <row r="50">
          <cell r="B50" t="str">
            <v>mtbe</v>
          </cell>
          <cell r="E50">
            <v>5.6E+16</v>
          </cell>
        </row>
        <row r="51">
          <cell r="B51" t="str">
            <v>scm</v>
          </cell>
          <cell r="E51">
            <v>37620000</v>
          </cell>
          <cell r="F51">
            <v>8.9853826311263968E-10</v>
          </cell>
        </row>
        <row r="52">
          <cell r="B52" t="str">
            <v>mmscm</v>
          </cell>
          <cell r="E52">
            <v>37620000000000</v>
          </cell>
          <cell r="F52">
            <v>8.9853826311263969E-4</v>
          </cell>
        </row>
        <row r="53">
          <cell r="B53" t="str">
            <v>mtge</v>
          </cell>
          <cell r="E53">
            <v>49500000000000</v>
          </cell>
        </row>
        <row r="54">
          <cell r="B54" t="str">
            <v>lcng</v>
          </cell>
          <cell r="E54">
            <v>36000000</v>
          </cell>
          <cell r="F54">
            <v>8.598452278589854E-10</v>
          </cell>
        </row>
        <row r="55">
          <cell r="B55" t="str">
            <v>kcng</v>
          </cell>
          <cell r="E55">
            <v>50000000</v>
          </cell>
          <cell r="F55">
            <v>1.1942294831374796E-9</v>
          </cell>
        </row>
        <row r="56">
          <cell r="B56" t="str">
            <v>llpg</v>
          </cell>
          <cell r="E56">
            <v>25541000</v>
          </cell>
        </row>
        <row r="57">
          <cell r="B57" t="str">
            <v>kghe</v>
          </cell>
          <cell r="E57">
            <v>120100000</v>
          </cell>
          <cell r="F57">
            <v>2.8685392184962261E-9</v>
          </cell>
        </row>
        <row r="58">
          <cell r="B58" t="str">
            <v>m^3</v>
          </cell>
          <cell r="E58">
            <v>37620000</v>
          </cell>
          <cell r="F58">
            <v>8.9853826311263968E-10</v>
          </cell>
        </row>
        <row r="59">
          <cell r="B59" t="str">
            <v>bcm</v>
          </cell>
          <cell r="E59">
            <v>3.762E+16</v>
          </cell>
          <cell r="F59">
            <v>0.89853826311263973</v>
          </cell>
        </row>
        <row r="65">
          <cell r="B65" t="str">
            <v>GW</v>
          </cell>
          <cell r="E65">
            <v>1000000000</v>
          </cell>
          <cell r="F65">
            <v>1</v>
          </cell>
        </row>
        <row r="66">
          <cell r="B66" t="str">
            <v>MW</v>
          </cell>
          <cell r="E66">
            <v>1000000</v>
          </cell>
          <cell r="F66">
            <v>1E-3</v>
          </cell>
        </row>
        <row r="67">
          <cell r="B67" t="str">
            <v>kW</v>
          </cell>
          <cell r="E67">
            <v>1000</v>
          </cell>
          <cell r="F67">
            <v>9.9999999999999995E-7</v>
          </cell>
        </row>
        <row r="68">
          <cell r="B68" t="str">
            <v>W</v>
          </cell>
          <cell r="E68">
            <v>1</v>
          </cell>
          <cell r="F68">
            <v>1.0000000000000001E-9</v>
          </cell>
        </row>
        <row r="69">
          <cell r="B69" t="str">
            <v>mcm/d</v>
          </cell>
          <cell r="E69">
            <v>335648148.14814812</v>
          </cell>
        </row>
        <row r="70">
          <cell r="B70" t="str">
            <v>Mtoe/y</v>
          </cell>
          <cell r="E70">
            <v>1326716860.597764</v>
          </cell>
        </row>
        <row r="75">
          <cell r="F75">
            <v>31557600</v>
          </cell>
        </row>
        <row r="76">
          <cell r="F76">
            <v>86400</v>
          </cell>
        </row>
        <row r="77">
          <cell r="F77">
            <v>3600</v>
          </cell>
        </row>
        <row r="78">
          <cell r="F78">
            <v>60</v>
          </cell>
        </row>
        <row r="83">
          <cell r="B83" t="str">
            <v>ha</v>
          </cell>
          <cell r="E83">
            <v>10000</v>
          </cell>
          <cell r="F83">
            <v>9.9999999999999995E-7</v>
          </cell>
        </row>
        <row r="84">
          <cell r="B84" t="str">
            <v>M ha</v>
          </cell>
          <cell r="E84">
            <v>10000000000</v>
          </cell>
        </row>
        <row r="85">
          <cell r="B85" t="str">
            <v>acres</v>
          </cell>
          <cell r="E85">
            <v>4046.8564224000002</v>
          </cell>
          <cell r="F85">
            <v>4.0468564224000004E-7</v>
          </cell>
        </row>
        <row r="86">
          <cell r="B86" t="str">
            <v>km^2</v>
          </cell>
          <cell r="E86">
            <v>1000000</v>
          </cell>
          <cell r="F86">
            <v>1E-4</v>
          </cell>
        </row>
        <row r="87">
          <cell r="B87" t="str">
            <v>m^2</v>
          </cell>
          <cell r="E87">
            <v>1</v>
          </cell>
          <cell r="F87">
            <v>1E-10</v>
          </cell>
        </row>
        <row r="88">
          <cell r="B88" t="str">
            <v>Wales</v>
          </cell>
          <cell r="E88">
            <v>20700000000</v>
          </cell>
        </row>
        <row r="93">
          <cell r="E93">
            <v>1.3267168605977642</v>
          </cell>
        </row>
        <row r="106">
          <cell r="B106" t="str">
            <v>£trn</v>
          </cell>
          <cell r="F106">
            <v>1000000000000</v>
          </cell>
        </row>
        <row r="107">
          <cell r="B107" t="str">
            <v>£bn</v>
          </cell>
          <cell r="F107">
            <v>1000000000</v>
          </cell>
        </row>
        <row r="108">
          <cell r="B108" t="str">
            <v>£m</v>
          </cell>
          <cell r="E108">
            <v>8.3000000000000004E-2</v>
          </cell>
          <cell r="F108">
            <v>1000000</v>
          </cell>
        </row>
        <row r="109">
          <cell r="B109" t="str">
            <v>£k</v>
          </cell>
          <cell r="F109">
            <v>1000</v>
          </cell>
        </row>
        <row r="110">
          <cell r="B110" t="str">
            <v>Euro2002</v>
          </cell>
          <cell r="F110">
            <v>0.62893081761006286</v>
          </cell>
        </row>
        <row r="111">
          <cell r="B111" t="str">
            <v>$2009</v>
          </cell>
          <cell r="F111">
            <v>0.625</v>
          </cell>
        </row>
        <row r="112">
          <cell r="B112" t="str">
            <v>$2010</v>
          </cell>
          <cell r="F112">
            <v>0.64683053040103489</v>
          </cell>
        </row>
        <row r="113">
          <cell r="B113" t="str">
            <v>$2012</v>
          </cell>
          <cell r="E113">
            <v>4.8000000000000013E-8</v>
          </cell>
          <cell r="F113">
            <v>0.57831325301204828</v>
          </cell>
        </row>
        <row r="114">
          <cell r="B114" t="str">
            <v>$2014</v>
          </cell>
          <cell r="F114">
            <v>0.73662650602409641</v>
          </cell>
        </row>
        <row r="115">
          <cell r="B115" t="str">
            <v xml:space="preserve">INR </v>
          </cell>
          <cell r="E115">
            <v>1.0000000000000001E-9</v>
          </cell>
          <cell r="F115">
            <v>1.2048192771084338E-2</v>
          </cell>
        </row>
        <row r="116">
          <cell r="B116" t="str">
            <v>INR Cr</v>
          </cell>
          <cell r="E116">
            <v>0.01</v>
          </cell>
          <cell r="F116">
            <v>120481.92771084337</v>
          </cell>
        </row>
        <row r="117">
          <cell r="B117" t="str">
            <v>$mn</v>
          </cell>
          <cell r="E117">
            <v>6.0009000000000007E-2</v>
          </cell>
          <cell r="F117">
            <v>723000</v>
          </cell>
        </row>
        <row r="118">
          <cell r="B118" t="str">
            <v>$bn</v>
          </cell>
          <cell r="E118">
            <v>60.000000000000007</v>
          </cell>
          <cell r="F118">
            <v>722891566.26506031</v>
          </cell>
        </row>
        <row r="119">
          <cell r="B119" t="str">
            <v>$trn</v>
          </cell>
          <cell r="F119">
            <v>722891566265.0603</v>
          </cell>
        </row>
        <row r="120">
          <cell r="B120" t="str">
            <v>INR Trillion</v>
          </cell>
          <cell r="E120">
            <v>1000</v>
          </cell>
          <cell r="F120">
            <v>12048192771.084337</v>
          </cell>
        </row>
        <row r="121">
          <cell r="B121" t="str">
            <v>INR Billion</v>
          </cell>
          <cell r="E121">
            <v>1</v>
          </cell>
          <cell r="F121">
            <v>12048192.771084337</v>
          </cell>
        </row>
        <row r="122">
          <cell r="B122" t="str">
            <v>INR Million</v>
          </cell>
          <cell r="F122">
            <v>12048.192771084337</v>
          </cell>
        </row>
        <row r="123">
          <cell r="B123" t="str">
            <v>INR lac</v>
          </cell>
          <cell r="E123">
            <v>1E-4</v>
          </cell>
          <cell r="F123">
            <v>1204.8192771084337</v>
          </cell>
        </row>
        <row r="124">
          <cell r="B124" t="str">
            <v>£</v>
          </cell>
          <cell r="E124">
            <v>8.3000000000000002E-8</v>
          </cell>
          <cell r="F124">
            <v>1</v>
          </cell>
        </row>
        <row r="159">
          <cell r="B159" t="str">
            <v>MCM</v>
          </cell>
          <cell r="E159">
            <v>1000000000</v>
          </cell>
          <cell r="F159">
            <v>1</v>
          </cell>
        </row>
        <row r="160">
          <cell r="B160" t="str">
            <v>L</v>
          </cell>
          <cell r="E160">
            <v>1</v>
          </cell>
          <cell r="F160">
            <v>1.0000000000000001E-9</v>
          </cell>
        </row>
        <row r="161">
          <cell r="B161" t="str">
            <v>ML</v>
          </cell>
          <cell r="E161">
            <v>1000000</v>
          </cell>
        </row>
      </sheetData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SS V3 Main Sheet"/>
      <sheetName val="My Story"/>
      <sheetName val="IESS V3 Results"/>
      <sheetName val="Charts"/>
      <sheetName val="Preferences"/>
      <sheetName val="Structure of the model"/>
      <sheetName val="XIII.a"/>
      <sheetName val="New Cooking "/>
      <sheetName val="Constants"/>
      <sheetName val="GDP"/>
      <sheetName val="I.a"/>
      <sheetName val="I.b"/>
      <sheetName val="I.c"/>
      <sheetName val="I.d"/>
      <sheetName val="I.e"/>
      <sheetName val="II"/>
      <sheetName val="III"/>
      <sheetName val="IV.a"/>
      <sheetName val="IV.b"/>
      <sheetName val="IV.c.1"/>
      <sheetName val="IV.c.2"/>
      <sheetName val="IV.d"/>
      <sheetName val="IV.e"/>
      <sheetName val="IV.f"/>
      <sheetName val="V.a"/>
      <sheetName val="V.b"/>
      <sheetName val="V.c"/>
      <sheetName val="V.d"/>
      <sheetName val="V.e"/>
      <sheetName val="VI"/>
      <sheetName val="VII.a"/>
      <sheetName val="VII.C"/>
      <sheetName val="VII.b"/>
      <sheetName val="VIII"/>
      <sheetName val="IX"/>
      <sheetName val="X.a"/>
      <sheetName val="X.b"/>
      <sheetName val="XI"/>
      <sheetName val="XII.a"/>
      <sheetName val="XII.b"/>
      <sheetName val="XIV"/>
      <sheetName val="XV.a"/>
      <sheetName val="XV.b"/>
      <sheetName val="XV.c"/>
      <sheetName val="XVI"/>
      <sheetName val="XVII.a"/>
      <sheetName val="XVII.b"/>
      <sheetName val="Control"/>
      <sheetName val="Intermediate output"/>
      <sheetName val="Global assumptions"/>
      <sheetName val="2017 Baseline"/>
      <sheetName val="2017-18"/>
      <sheetName val="Dispatch"/>
      <sheetName val="2012"/>
      <sheetName val="2017"/>
      <sheetName val="2022"/>
      <sheetName val="2027"/>
      <sheetName val="2032"/>
      <sheetName val="2037"/>
      <sheetName val="2042"/>
      <sheetName val="2047"/>
      <sheetName val="Conversions"/>
      <sheetName val="Land Use"/>
      <sheetName val="Water Use"/>
      <sheetName val="CostAbsolute"/>
      <sheetName val="Flows"/>
      <sheetName val="Modified Excel Sheet-C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D745C-D4E7-4422-90FA-496888C7C801}">
  <dimension ref="A1:E43"/>
  <sheetViews>
    <sheetView topLeftCell="A28" workbookViewId="0">
      <selection activeCell="C44" sqref="C44"/>
    </sheetView>
  </sheetViews>
  <sheetFormatPr defaultRowHeight="12.5" x14ac:dyDescent="0.25"/>
  <cols>
    <col min="2" max="2" width="13.1796875" customWidth="1"/>
  </cols>
  <sheetData>
    <row r="1" spans="1:5" ht="13" x14ac:dyDescent="0.3">
      <c r="A1" s="53" t="s">
        <v>136</v>
      </c>
      <c r="B1" s="53"/>
    </row>
    <row r="2" spans="1:5" x14ac:dyDescent="0.25">
      <c r="A2" t="s">
        <v>67</v>
      </c>
      <c r="B2" s="30" t="s">
        <v>133</v>
      </c>
    </row>
    <row r="3" spans="1:5" ht="14.5" x14ac:dyDescent="0.35">
      <c r="A3" s="48">
        <v>2000</v>
      </c>
      <c r="B3" s="49">
        <v>26.888999999999999</v>
      </c>
      <c r="C3" s="48"/>
      <c r="D3" s="48" t="s">
        <v>134</v>
      </c>
      <c r="E3" s="48">
        <f>(B26/B3)^(1/(A26-A3))-1</f>
        <v>7.578527216468367E-2</v>
      </c>
    </row>
    <row r="4" spans="1:5" ht="14.5" x14ac:dyDescent="0.35">
      <c r="A4" s="48">
        <v>2001</v>
      </c>
      <c r="B4" s="49">
        <v>27.963999999999999</v>
      </c>
      <c r="C4" s="48"/>
    </row>
    <row r="5" spans="1:5" ht="14.5" x14ac:dyDescent="0.35">
      <c r="A5" s="48">
        <v>2002</v>
      </c>
      <c r="B5" s="49">
        <v>30.21</v>
      </c>
      <c r="C5" s="48"/>
    </row>
    <row r="6" spans="1:5" ht="14.5" x14ac:dyDescent="0.35">
      <c r="A6" s="48">
        <v>2003</v>
      </c>
      <c r="B6" s="49">
        <v>38.726999999999997</v>
      </c>
      <c r="C6" s="48"/>
    </row>
    <row r="7" spans="1:5" ht="14.5" x14ac:dyDescent="0.35">
      <c r="A7" s="48">
        <v>2004</v>
      </c>
      <c r="B7" s="49">
        <v>43.436999999999998</v>
      </c>
      <c r="C7" s="48"/>
    </row>
    <row r="8" spans="1:5" ht="14.5" x14ac:dyDescent="0.35">
      <c r="A8" s="48">
        <v>2005</v>
      </c>
      <c r="B8" s="49">
        <v>46.46</v>
      </c>
      <c r="C8" s="48"/>
    </row>
    <row r="9" spans="1:5" ht="14.5" x14ac:dyDescent="0.35">
      <c r="A9" s="48">
        <v>2006</v>
      </c>
      <c r="B9" s="49">
        <v>50.817</v>
      </c>
      <c r="C9" s="48"/>
    </row>
    <row r="10" spans="1:5" ht="14.5" x14ac:dyDescent="0.35">
      <c r="A10" s="48">
        <v>2007</v>
      </c>
      <c r="B10" s="49">
        <v>53.856999999999999</v>
      </c>
      <c r="C10" s="48"/>
    </row>
    <row r="11" spans="1:5" ht="14.5" x14ac:dyDescent="0.35">
      <c r="A11" s="48">
        <v>2008</v>
      </c>
      <c r="B11" s="49">
        <v>58.436999999999998</v>
      </c>
      <c r="C11" s="48"/>
    </row>
    <row r="12" spans="1:5" ht="14.5" x14ac:dyDescent="0.35">
      <c r="A12" s="48">
        <v>2009</v>
      </c>
      <c r="B12" s="49">
        <v>65.838999999999999</v>
      </c>
      <c r="C12" s="48"/>
    </row>
    <row r="13" spans="1:5" ht="14.5" x14ac:dyDescent="0.35">
      <c r="A13" s="48">
        <v>2010</v>
      </c>
      <c r="B13" s="49">
        <v>70.671999999999997</v>
      </c>
      <c r="C13" s="48"/>
    </row>
    <row r="14" spans="1:5" ht="14.5" x14ac:dyDescent="0.35">
      <c r="A14" s="48">
        <v>2011</v>
      </c>
      <c r="B14" s="49">
        <v>74.290999999999997</v>
      </c>
      <c r="C14" s="48"/>
    </row>
    <row r="15" spans="1:5" ht="14.5" x14ac:dyDescent="0.35">
      <c r="A15" s="48">
        <v>2012</v>
      </c>
      <c r="B15" s="49">
        <v>78.415000000000006</v>
      </c>
      <c r="C15" s="48"/>
    </row>
    <row r="16" spans="1:5" ht="14.5" x14ac:dyDescent="0.35">
      <c r="A16" s="48">
        <v>2013</v>
      </c>
      <c r="B16" s="49">
        <v>81.694000000000003</v>
      </c>
      <c r="C16" s="48"/>
    </row>
    <row r="17" spans="1:4" ht="14.5" x14ac:dyDescent="0.35">
      <c r="A17" s="48">
        <v>2014</v>
      </c>
      <c r="B17" s="49">
        <v>88.978999999999999</v>
      </c>
      <c r="C17" s="48"/>
    </row>
    <row r="18" spans="1:4" ht="14.5" x14ac:dyDescent="0.35">
      <c r="A18" s="48">
        <v>2015</v>
      </c>
      <c r="B18" s="49">
        <v>89.79</v>
      </c>
      <c r="C18" s="48"/>
    </row>
    <row r="19" spans="1:4" ht="14.5" x14ac:dyDescent="0.35">
      <c r="A19" s="48">
        <v>2016</v>
      </c>
      <c r="B19" s="49">
        <v>97.936000000000007</v>
      </c>
      <c r="C19" s="48"/>
    </row>
    <row r="20" spans="1:4" ht="14.5" x14ac:dyDescent="0.35">
      <c r="A20" s="48">
        <v>2017</v>
      </c>
      <c r="B20" s="49">
        <v>103.131</v>
      </c>
      <c r="C20" s="48"/>
    </row>
    <row r="21" spans="1:4" ht="14.5" x14ac:dyDescent="0.35">
      <c r="A21" s="48">
        <v>2018</v>
      </c>
      <c r="B21" s="49">
        <v>110.92</v>
      </c>
      <c r="C21" s="48"/>
    </row>
    <row r="22" spans="1:4" ht="14.5" x14ac:dyDescent="0.35">
      <c r="A22" s="48">
        <v>2019</v>
      </c>
      <c r="B22" s="49">
        <v>109.137</v>
      </c>
      <c r="C22" s="48"/>
    </row>
    <row r="23" spans="1:4" ht="14.5" x14ac:dyDescent="0.35">
      <c r="A23" s="48">
        <v>2020</v>
      </c>
      <c r="B23" s="49">
        <v>103.545</v>
      </c>
      <c r="C23" s="48"/>
    </row>
    <row r="24" spans="1:4" ht="14.5" x14ac:dyDescent="0.35">
      <c r="A24" s="48">
        <v>2021</v>
      </c>
      <c r="B24" s="49">
        <v>120.29300000000001</v>
      </c>
      <c r="C24" s="48"/>
    </row>
    <row r="25" spans="1:4" ht="14.5" x14ac:dyDescent="0.35">
      <c r="A25" s="48">
        <v>2022</v>
      </c>
      <c r="B25" s="49">
        <v>127.197</v>
      </c>
      <c r="C25" s="48"/>
    </row>
    <row r="26" spans="1:4" ht="14.5" x14ac:dyDescent="0.35">
      <c r="A26" s="48">
        <v>2023</v>
      </c>
      <c r="B26" s="49">
        <v>144.29900000000001</v>
      </c>
      <c r="C26" s="48"/>
      <c r="D26" s="48" t="s">
        <v>135</v>
      </c>
    </row>
    <row r="27" spans="1:4" ht="14.5" x14ac:dyDescent="0.35">
      <c r="A27" s="48">
        <v>2024</v>
      </c>
      <c r="B27" s="49">
        <f>B26*(1+E$3)</f>
        <v>155.23473898809169</v>
      </c>
      <c r="C27" s="48"/>
    </row>
    <row r="28" spans="1:4" ht="14.5" x14ac:dyDescent="0.35">
      <c r="A28" s="48">
        <v>2025</v>
      </c>
      <c r="B28" s="49">
        <f t="shared" ref="B28:B43" si="0">B27*(1+E$3)</f>
        <v>166.99924593171787</v>
      </c>
      <c r="C28" s="48"/>
    </row>
    <row r="29" spans="1:4" ht="14.5" x14ac:dyDescent="0.35">
      <c r="A29" s="48">
        <v>2026</v>
      </c>
      <c r="B29" s="49">
        <f t="shared" si="0"/>
        <v>179.65532923595003</v>
      </c>
      <c r="C29" s="48"/>
    </row>
    <row r="30" spans="1:4" ht="14.5" x14ac:dyDescent="0.35">
      <c r="A30" s="48">
        <v>2027</v>
      </c>
      <c r="B30" s="49">
        <f t="shared" si="0"/>
        <v>193.27055725793235</v>
      </c>
      <c r="C30" s="48"/>
    </row>
    <row r="31" spans="1:4" ht="14.5" x14ac:dyDescent="0.35">
      <c r="A31" s="48">
        <v>2028</v>
      </c>
      <c r="B31" s="49">
        <f t="shared" si="0"/>
        <v>207.91761904114483</v>
      </c>
      <c r="C31" s="48"/>
    </row>
    <row r="32" spans="1:4" ht="14.5" x14ac:dyDescent="0.35">
      <c r="A32" s="48">
        <v>2029</v>
      </c>
      <c r="B32" s="49">
        <f t="shared" si="0"/>
        <v>223.67471238801102</v>
      </c>
      <c r="C32" s="48"/>
    </row>
    <row r="33" spans="1:3" ht="14.5" x14ac:dyDescent="0.35">
      <c r="A33" s="48">
        <v>2030</v>
      </c>
      <c r="B33" s="49">
        <f t="shared" si="0"/>
        <v>240.62596134269378</v>
      </c>
      <c r="C33" s="48"/>
    </row>
    <row r="34" spans="1:3" ht="14.5" x14ac:dyDescent="0.35">
      <c r="A34" s="48">
        <v>2031</v>
      </c>
      <c r="B34" s="49">
        <f t="shared" si="0"/>
        <v>258.86186531293851</v>
      </c>
      <c r="C34" s="48"/>
    </row>
    <row r="35" spans="1:3" ht="14.5" x14ac:dyDescent="0.35">
      <c r="A35" s="48">
        <v>2032</v>
      </c>
      <c r="B35" s="49">
        <f t="shared" si="0"/>
        <v>278.47978222873724</v>
      </c>
      <c r="C35" s="48"/>
    </row>
    <row r="36" spans="1:3" ht="14.5" x14ac:dyDescent="0.35">
      <c r="A36" s="48">
        <v>2033</v>
      </c>
      <c r="B36" s="49">
        <f t="shared" si="0"/>
        <v>299.58444831730395</v>
      </c>
      <c r="C36" s="48"/>
    </row>
    <row r="37" spans="1:3" ht="14.5" x14ac:dyDescent="0.35">
      <c r="A37" s="48">
        <v>2034</v>
      </c>
      <c r="B37" s="49">
        <f t="shared" si="0"/>
        <v>322.28853726933744</v>
      </c>
      <c r="C37" s="48"/>
    </row>
    <row r="38" spans="1:3" ht="14.5" x14ac:dyDescent="0.35">
      <c r="A38" s="48">
        <v>2035</v>
      </c>
      <c r="B38" s="49">
        <f t="shared" si="0"/>
        <v>346.713261781852</v>
      </c>
      <c r="C38" s="48"/>
    </row>
    <row r="39" spans="1:3" ht="14.5" x14ac:dyDescent="0.35">
      <c r="A39" s="48">
        <v>2036</v>
      </c>
      <c r="B39" s="49">
        <f t="shared" si="0"/>
        <v>372.98902068909484</v>
      </c>
      <c r="C39" s="48"/>
    </row>
    <row r="40" spans="1:3" ht="14.5" x14ac:dyDescent="0.35">
      <c r="A40" s="48">
        <v>2037</v>
      </c>
      <c r="B40" s="49">
        <f t="shared" si="0"/>
        <v>401.25609513645674</v>
      </c>
      <c r="C40" s="48"/>
    </row>
    <row r="41" spans="1:3" ht="14.5" x14ac:dyDescent="0.35">
      <c r="A41" s="48">
        <v>2038</v>
      </c>
      <c r="B41" s="49">
        <f t="shared" si="0"/>
        <v>431.66539751411131</v>
      </c>
      <c r="C41" s="48"/>
    </row>
    <row r="42" spans="1:3" ht="14.5" x14ac:dyDescent="0.35">
      <c r="A42" s="48">
        <v>2039</v>
      </c>
      <c r="B42" s="49">
        <f t="shared" si="0"/>
        <v>464.37927714879459</v>
      </c>
      <c r="C42" s="48"/>
    </row>
    <row r="43" spans="1:3" ht="14.5" x14ac:dyDescent="0.35">
      <c r="A43" s="48">
        <v>2040</v>
      </c>
      <c r="B43" s="49">
        <f t="shared" si="0"/>
        <v>499.57238705515505</v>
      </c>
      <c r="C43" s="48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71AF-ECD8-482D-A125-D9EAB038D799}">
  <dimension ref="A1:D42"/>
  <sheetViews>
    <sheetView workbookViewId="0">
      <selection activeCell="F4" sqref="F4"/>
    </sheetView>
  </sheetViews>
  <sheetFormatPr defaultRowHeight="12.5" x14ac:dyDescent="0.25"/>
  <cols>
    <col min="1" max="1" width="30.6328125" bestFit="1" customWidth="1"/>
    <col min="2" max="2" width="31.90625" bestFit="1" customWidth="1"/>
  </cols>
  <sheetData>
    <row r="1" spans="1:4" x14ac:dyDescent="0.25">
      <c r="A1" s="44" t="s">
        <v>93</v>
      </c>
      <c r="B1" s="44" t="s">
        <v>92</v>
      </c>
    </row>
    <row r="2" spans="1:4" x14ac:dyDescent="0.25">
      <c r="A2" s="44" t="s">
        <v>47</v>
      </c>
      <c r="B2" s="44" t="s">
        <v>123</v>
      </c>
    </row>
    <row r="3" spans="1:4" x14ac:dyDescent="0.25">
      <c r="A3" s="44" t="s">
        <v>48</v>
      </c>
      <c r="B3" s="44" t="s">
        <v>94</v>
      </c>
      <c r="D3" t="s">
        <v>122</v>
      </c>
    </row>
    <row r="4" spans="1:4" x14ac:dyDescent="0.25">
      <c r="A4" s="44" t="s">
        <v>49</v>
      </c>
      <c r="B4" s="44" t="s">
        <v>95</v>
      </c>
      <c r="D4" t="s">
        <v>143</v>
      </c>
    </row>
    <row r="5" spans="1:4" x14ac:dyDescent="0.25">
      <c r="A5" s="44" t="s">
        <v>125</v>
      </c>
      <c r="B5" s="44" t="s">
        <v>140</v>
      </c>
    </row>
    <row r="6" spans="1:4" x14ac:dyDescent="0.25">
      <c r="A6" s="44" t="s">
        <v>97</v>
      </c>
      <c r="B6" s="44" t="s">
        <v>96</v>
      </c>
    </row>
    <row r="7" spans="1:4" x14ac:dyDescent="0.25">
      <c r="A7" s="44" t="s">
        <v>98</v>
      </c>
      <c r="B7" s="44" t="s">
        <v>50</v>
      </c>
    </row>
    <row r="8" spans="1:4" x14ac:dyDescent="0.25">
      <c r="A8" s="44" t="s">
        <v>46</v>
      </c>
      <c r="B8" s="44" t="s">
        <v>99</v>
      </c>
    </row>
    <row r="9" spans="1:4" x14ac:dyDescent="0.25">
      <c r="A9" s="44" t="s">
        <v>101</v>
      </c>
      <c r="B9" s="44" t="s">
        <v>100</v>
      </c>
    </row>
    <row r="10" spans="1:4" x14ac:dyDescent="0.25">
      <c r="A10" s="44"/>
      <c r="B10" s="44"/>
    </row>
    <row r="11" spans="1:4" x14ac:dyDescent="0.25">
      <c r="A11" s="44" t="s">
        <v>102</v>
      </c>
      <c r="B11" s="44"/>
    </row>
    <row r="12" spans="1:4" x14ac:dyDescent="0.25">
      <c r="A12" s="44" t="s">
        <v>93</v>
      </c>
      <c r="B12" s="44" t="s">
        <v>92</v>
      </c>
    </row>
    <row r="13" spans="1:4" x14ac:dyDescent="0.25">
      <c r="A13" s="44" t="s">
        <v>45</v>
      </c>
      <c r="B13" s="44" t="s">
        <v>119</v>
      </c>
    </row>
    <row r="14" spans="1:4" x14ac:dyDescent="0.25">
      <c r="A14" s="44" t="s">
        <v>113</v>
      </c>
      <c r="B14" s="44" t="s">
        <v>114</v>
      </c>
    </row>
    <row r="15" spans="1:4" x14ac:dyDescent="0.25">
      <c r="A15" s="44" t="s">
        <v>115</v>
      </c>
      <c r="B15" s="44" t="s">
        <v>116</v>
      </c>
    </row>
    <row r="16" spans="1:4" x14ac:dyDescent="0.25">
      <c r="A16" s="44" t="s">
        <v>117</v>
      </c>
      <c r="B16" s="44" t="s">
        <v>118</v>
      </c>
    </row>
    <row r="17" spans="1:2" x14ac:dyDescent="0.25">
      <c r="A17" s="44" t="s">
        <v>107</v>
      </c>
      <c r="B17" s="44" t="s">
        <v>108</v>
      </c>
    </row>
    <row r="18" spans="1:2" x14ac:dyDescent="0.25">
      <c r="A18" s="44" t="s">
        <v>46</v>
      </c>
      <c r="B18" s="44" t="s">
        <v>109</v>
      </c>
    </row>
    <row r="19" spans="1:2" x14ac:dyDescent="0.25">
      <c r="A19" s="44" t="s">
        <v>101</v>
      </c>
      <c r="B19" s="44" t="s">
        <v>100</v>
      </c>
    </row>
    <row r="20" spans="1:2" x14ac:dyDescent="0.25">
      <c r="A20" s="44" t="s">
        <v>110</v>
      </c>
      <c r="B20" s="44" t="s">
        <v>63</v>
      </c>
    </row>
    <row r="21" spans="1:2" x14ac:dyDescent="0.25">
      <c r="A21" s="44" t="s">
        <v>111</v>
      </c>
      <c r="B21" s="44" t="s">
        <v>112</v>
      </c>
    </row>
    <row r="22" spans="1:2" x14ac:dyDescent="0.25">
      <c r="A22" s="44" t="s">
        <v>103</v>
      </c>
      <c r="B22" s="44" t="s">
        <v>104</v>
      </c>
    </row>
    <row r="23" spans="1:2" x14ac:dyDescent="0.25">
      <c r="A23" s="44" t="s">
        <v>105</v>
      </c>
      <c r="B23" s="44" t="s">
        <v>106</v>
      </c>
    </row>
    <row r="25" spans="1:2" x14ac:dyDescent="0.25">
      <c r="A25" s="44" t="s">
        <v>127</v>
      </c>
      <c r="B25" s="44"/>
    </row>
    <row r="28" spans="1:2" x14ac:dyDescent="0.25">
      <c r="A28" s="44" t="s">
        <v>132</v>
      </c>
      <c r="B28" s="44" t="s">
        <v>126</v>
      </c>
    </row>
    <row r="29" spans="1:2" x14ac:dyDescent="0.25">
      <c r="A29" s="44" t="s">
        <v>130</v>
      </c>
      <c r="B29" s="44" t="s">
        <v>131</v>
      </c>
    </row>
    <row r="30" spans="1:2" x14ac:dyDescent="0.25">
      <c r="A30" s="44" t="s">
        <v>128</v>
      </c>
      <c r="B30" s="44" t="s">
        <v>129</v>
      </c>
    </row>
    <row r="33" spans="1:2" x14ac:dyDescent="0.25">
      <c r="A33" s="46" t="s">
        <v>89</v>
      </c>
      <c r="B33" s="46" t="s">
        <v>90</v>
      </c>
    </row>
    <row r="36" spans="1:2" x14ac:dyDescent="0.25">
      <c r="A36" t="s">
        <v>133</v>
      </c>
      <c r="B36" t="s">
        <v>141</v>
      </c>
    </row>
    <row r="38" spans="1:2" x14ac:dyDescent="0.25">
      <c r="A38" t="s">
        <v>138</v>
      </c>
    </row>
    <row r="42" spans="1:2" x14ac:dyDescent="0.25">
      <c r="A42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7149-FB43-4FB6-89C2-AE696F79846A}">
  <dimension ref="A1:B13"/>
  <sheetViews>
    <sheetView workbookViewId="0">
      <selection activeCell="A6" sqref="A6"/>
    </sheetView>
  </sheetViews>
  <sheetFormatPr defaultRowHeight="12.5" x14ac:dyDescent="0.25"/>
  <cols>
    <col min="1" max="1" width="13.36328125" bestFit="1" customWidth="1"/>
    <col min="2" max="2" width="48.81640625" bestFit="1" customWidth="1"/>
  </cols>
  <sheetData>
    <row r="1" spans="1:2" ht="13" x14ac:dyDescent="0.3">
      <c r="A1" s="14" t="s">
        <v>121</v>
      </c>
      <c r="B1" s="14" t="s">
        <v>124</v>
      </c>
    </row>
    <row r="2" spans="1:2" ht="13.25" x14ac:dyDescent="0.25">
      <c r="A2" t="str">
        <f>Fuel_Code!A2&amp;Fuel_Code!A14</f>
        <v>MINCOACC</v>
      </c>
      <c r="B2" t="str">
        <f>Fuel_Code!B2&amp;" "&amp;Fuel_Code!D3&amp;" "&amp;Fuel_Code!B14</f>
        <v>Domestic Production of Coking Coal</v>
      </c>
    </row>
    <row r="3" spans="1:2" ht="13.25" x14ac:dyDescent="0.25">
      <c r="A3" t="str">
        <f>Fuel_Code!A2&amp;Fuel_Code!A15</f>
        <v>MINCOANCC</v>
      </c>
      <c r="B3" t="str">
        <f>Fuel_Code!B2&amp;" "&amp;Fuel_Code!D3&amp;" "&amp;Fuel_Code!B15</f>
        <v>Domestic Production of Non Coking Coal</v>
      </c>
    </row>
    <row r="4" spans="1:2" ht="13.25" x14ac:dyDescent="0.25">
      <c r="A4" t="str">
        <f>Fuel_Code!A3&amp;Fuel_Code!A14</f>
        <v>IMPCOACC</v>
      </c>
      <c r="B4" t="str">
        <f>Fuel_Code!B3&amp;" "&amp;Fuel_Code!D3&amp;" "&amp;Fuel_Code!B14</f>
        <v>Import of Coking Coal</v>
      </c>
    </row>
    <row r="5" spans="1:2" ht="13.25" x14ac:dyDescent="0.25">
      <c r="A5" t="str">
        <f>Fuel_Code!A3&amp;Fuel_Code!A15</f>
        <v>IMPCOANCC</v>
      </c>
      <c r="B5" t="str">
        <f>Fuel_Code!B3&amp;" "&amp;Fuel_Code!D4&amp;" "&amp;Fuel_Code!B15</f>
        <v>Import by Non Coking Coal</v>
      </c>
    </row>
    <row r="6" spans="1:2" ht="13.25" x14ac:dyDescent="0.25">
      <c r="A6" t="str">
        <f>Fuel_Code!A4&amp;Fuel_Code!A15</f>
        <v>EXPCOANCC</v>
      </c>
      <c r="B6" t="str">
        <f>Fuel_Code!B4&amp;" "&amp;Fuel_Code!D3&amp;" "&amp;Fuel_Code!B15</f>
        <v>Export of Non Coking Coal</v>
      </c>
    </row>
    <row r="7" spans="1:2" ht="13.25" x14ac:dyDescent="0.25">
      <c r="A7" t="str">
        <f>Fuel_Code!A2&amp;Fuel_Code!A21</f>
        <v>MINGASNAT</v>
      </c>
      <c r="B7" t="str">
        <f>Fuel_Code!B2&amp;" "&amp;Fuel_Code!D3&amp;" "&amp;Fuel_Code!B21</f>
        <v xml:space="preserve">Domestic Production of Natural Gas </v>
      </c>
    </row>
    <row r="8" spans="1:2" ht="13.25" x14ac:dyDescent="0.25">
      <c r="A8" t="str">
        <f>Fuel_Code!A3&amp;Fuel_Code!A21</f>
        <v>IMPGASNAT</v>
      </c>
      <c r="B8" t="str">
        <f>Fuel_Code!B3&amp;" "&amp;Fuel_Code!D3&amp;" "&amp;Fuel_Code!B21</f>
        <v xml:space="preserve">Import of Natural Gas </v>
      </c>
    </row>
    <row r="9" spans="1:2" ht="13.25" x14ac:dyDescent="0.25">
      <c r="A9" t="str">
        <f>Fuel_Code!$A$2&amp;Fuel_Code!A22</f>
        <v>MINH2GRY</v>
      </c>
      <c r="B9" t="str">
        <f>Fuel_Code!$B$2&amp;" "&amp;Fuel_Code!$D$3&amp;" "&amp;Fuel_Code!B22</f>
        <v>Domestic Production of Hydrogen - Grey</v>
      </c>
    </row>
    <row r="10" spans="1:2" ht="13.25" x14ac:dyDescent="0.25">
      <c r="A10" t="str">
        <f>Fuel_Code!$A$2&amp;Fuel_Code!A23</f>
        <v>MINH2GRN</v>
      </c>
      <c r="B10" t="str">
        <f>Fuel_Code!$B$2&amp;" "&amp;Fuel_Code!$D$3&amp;" "&amp;Fuel_Code!B23</f>
        <v>Domestic Production of Hydorgen Green</v>
      </c>
    </row>
    <row r="11" spans="1:2" ht="13.25" x14ac:dyDescent="0.25">
      <c r="A11" t="str">
        <f>Fuel_Code!A2&amp;Fuel_Code!A20</f>
        <v>MINELT</v>
      </c>
      <c r="B11" t="str">
        <f>Fuel_Code!B20</f>
        <v>Electricity</v>
      </c>
    </row>
    <row r="12" spans="1:2" ht="13.25" x14ac:dyDescent="0.25">
      <c r="A12" s="46" t="str">
        <f>Fuel_Code!A$28&amp;Fuel_Code!A29</f>
        <v>IISBF-BOF</v>
      </c>
      <c r="B12" s="46" t="str">
        <f>Fuel_Code!B$28&amp;" "&amp;"by"&amp;" "&amp;Fuel_Code!B29</f>
        <v>Steel Production by Blast Furnace Basic Oxygen Furnace</v>
      </c>
    </row>
    <row r="13" spans="1:2" ht="13.25" x14ac:dyDescent="0.25">
      <c r="A13" s="46" t="str">
        <f>Fuel_Code!A$28&amp;Fuel_Code!A30</f>
        <v>IISDRI</v>
      </c>
      <c r="B13" s="46" t="str">
        <f>Fuel_Code!B$28&amp;" "&amp;"by"&amp;" "&amp;Fuel_Code!B30</f>
        <v>Steel Production by Direct Reduced Iron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8"/>
  <sheetViews>
    <sheetView zoomScaleNormal="100" workbookViewId="0">
      <selection activeCell="F26" sqref="F26"/>
    </sheetView>
  </sheetViews>
  <sheetFormatPr defaultRowHeight="12.5" x14ac:dyDescent="0.25"/>
  <cols>
    <col min="1" max="1" width="2" bestFit="1" customWidth="1"/>
    <col min="2" max="2" width="12.453125" bestFit="1" customWidth="1"/>
    <col min="3" max="3" width="10.453125" bestFit="1" customWidth="1"/>
    <col min="4" max="5" width="11.08984375" bestFit="1" customWidth="1"/>
    <col min="6" max="6" width="8.36328125" bestFit="1" customWidth="1"/>
    <col min="7" max="7" width="8.36328125" customWidth="1"/>
    <col min="8" max="8" width="13.08984375" bestFit="1" customWidth="1"/>
    <col min="9" max="9" width="8.453125" bestFit="1" customWidth="1"/>
    <col min="10" max="10" width="13.6328125" bestFit="1" customWidth="1"/>
    <col min="11" max="11" width="13.6328125" customWidth="1"/>
    <col min="12" max="12" width="4.453125" customWidth="1"/>
    <col min="13" max="13" width="11.6328125" bestFit="1" customWidth="1"/>
    <col min="14" max="14" width="9.6328125" bestFit="1" customWidth="1"/>
    <col min="15" max="15" width="12.453125" bestFit="1" customWidth="1"/>
    <col min="16" max="16" width="48.81640625" bestFit="1" customWidth="1"/>
    <col min="17" max="17" width="6.08984375" customWidth="1"/>
    <col min="18" max="18" width="11.54296875" customWidth="1"/>
    <col min="19" max="19" width="12.90625" bestFit="1" customWidth="1"/>
    <col min="20" max="20" width="13.36328125" bestFit="1" customWidth="1"/>
    <col min="21" max="21" width="8" bestFit="1" customWidth="1"/>
  </cols>
  <sheetData>
    <row r="1" spans="2:21" ht="14.5" x14ac:dyDescent="0.35">
      <c r="B1" s="13" t="s">
        <v>52</v>
      </c>
      <c r="C1" s="13" t="s">
        <v>53</v>
      </c>
      <c r="D1" s="13" t="s">
        <v>54</v>
      </c>
      <c r="E1" s="13" t="s">
        <v>56</v>
      </c>
      <c r="F1" s="12"/>
      <c r="G1" s="12"/>
      <c r="H1" s="13" t="s">
        <v>57</v>
      </c>
    </row>
    <row r="2" spans="2:21" ht="15.5" x14ac:dyDescent="0.35">
      <c r="B2" s="8"/>
      <c r="C2" s="8" t="str">
        <f>Fuel_Code!A13</f>
        <v>COA</v>
      </c>
      <c r="D2" s="8" t="str">
        <f>Fuel_Code!B13</f>
        <v>Coal</v>
      </c>
      <c r="E2" s="8" t="s">
        <v>55</v>
      </c>
      <c r="H2" s="8" t="s">
        <v>120</v>
      </c>
      <c r="M2" s="37" t="s">
        <v>14</v>
      </c>
      <c r="N2" s="37"/>
      <c r="O2" s="38"/>
      <c r="P2" s="38"/>
      <c r="Q2" s="38"/>
      <c r="R2" s="38"/>
      <c r="S2" s="38"/>
      <c r="T2" s="38"/>
      <c r="U2" s="38"/>
    </row>
    <row r="3" spans="2:21" ht="13" x14ac:dyDescent="0.3">
      <c r="M3" s="39" t="s">
        <v>7</v>
      </c>
      <c r="N3" s="40" t="s">
        <v>30</v>
      </c>
      <c r="O3" s="39" t="s">
        <v>0</v>
      </c>
      <c r="P3" s="39" t="s">
        <v>3</v>
      </c>
      <c r="Q3" s="39" t="s">
        <v>4</v>
      </c>
      <c r="R3" s="39" t="s">
        <v>8</v>
      </c>
      <c r="S3" s="39" t="s">
        <v>9</v>
      </c>
      <c r="T3" s="39" t="s">
        <v>10</v>
      </c>
      <c r="U3" s="39" t="s">
        <v>12</v>
      </c>
    </row>
    <row r="4" spans="2:21" ht="21" thickBot="1" x14ac:dyDescent="0.3">
      <c r="C4" s="1"/>
      <c r="M4" s="41" t="s">
        <v>38</v>
      </c>
      <c r="N4" s="41" t="s">
        <v>31</v>
      </c>
      <c r="O4" s="41" t="s">
        <v>26</v>
      </c>
      <c r="P4" s="41" t="s">
        <v>27</v>
      </c>
      <c r="Q4" s="41" t="s">
        <v>4</v>
      </c>
      <c r="R4" s="41" t="s">
        <v>41</v>
      </c>
      <c r="S4" s="41" t="s">
        <v>42</v>
      </c>
      <c r="T4" s="41" t="s">
        <v>28</v>
      </c>
      <c r="U4" s="41" t="s">
        <v>29</v>
      </c>
    </row>
    <row r="5" spans="2:21" ht="15.5" x14ac:dyDescent="0.35">
      <c r="C5" s="8"/>
      <c r="M5" s="38" t="s">
        <v>51</v>
      </c>
      <c r="N5" s="42"/>
      <c r="O5" s="38" t="str">
        <f>Fuel_Code!A14</f>
        <v>COACC</v>
      </c>
      <c r="P5" s="38" t="str">
        <f>D2</f>
        <v>Coal</v>
      </c>
      <c r="Q5" s="38" t="str">
        <f>$E$2</f>
        <v>PJ</v>
      </c>
      <c r="R5" s="38"/>
      <c r="S5" s="38"/>
      <c r="T5" s="38"/>
      <c r="U5" s="38"/>
    </row>
    <row r="6" spans="2:21" x14ac:dyDescent="0.25">
      <c r="M6" s="38" t="s">
        <v>51</v>
      </c>
      <c r="N6" s="42"/>
      <c r="O6" t="str">
        <f>Fuel_Code!A15</f>
        <v>COANCC</v>
      </c>
      <c r="P6" t="str">
        <f>Fuel_Code!B15</f>
        <v>Non Coking Coal</v>
      </c>
      <c r="Q6" s="38" t="str">
        <f t="shared" ref="Q6:Q9" si="0">$E$2</f>
        <v>PJ</v>
      </c>
      <c r="R6" s="38"/>
      <c r="S6" s="38"/>
      <c r="T6" s="38"/>
      <c r="U6" s="38"/>
    </row>
    <row r="7" spans="2:21" x14ac:dyDescent="0.25">
      <c r="M7" s="38" t="s">
        <v>51</v>
      </c>
      <c r="N7" s="42"/>
      <c r="O7" s="38" t="str">
        <f>Fuel_Code!A21</f>
        <v>GASNAT</v>
      </c>
      <c r="P7" s="38" t="str">
        <f>Fuel_Code!B21</f>
        <v xml:space="preserve">Natural Gas </v>
      </c>
      <c r="Q7" s="38" t="str">
        <f t="shared" si="0"/>
        <v>PJ</v>
      </c>
      <c r="R7" s="38"/>
      <c r="S7" s="38"/>
      <c r="T7" s="38"/>
      <c r="U7" s="38"/>
    </row>
    <row r="8" spans="2:21" x14ac:dyDescent="0.25">
      <c r="M8" s="38" t="s">
        <v>51</v>
      </c>
      <c r="N8" s="42"/>
      <c r="O8" s="38" t="str">
        <f>Fuel_Code!A23</f>
        <v>H2GRN</v>
      </c>
      <c r="P8" s="38" t="str">
        <f>Fuel_Code!B23</f>
        <v>Hydorgen Green</v>
      </c>
      <c r="Q8" s="38" t="str">
        <f t="shared" si="0"/>
        <v>PJ</v>
      </c>
      <c r="R8" s="38"/>
      <c r="S8" s="38"/>
      <c r="T8" s="38"/>
      <c r="U8" s="38"/>
    </row>
    <row r="9" spans="2:21" x14ac:dyDescent="0.25">
      <c r="M9" s="38" t="s">
        <v>51</v>
      </c>
      <c r="N9" s="42"/>
      <c r="O9" s="38" t="str">
        <f>Fuel_Code!A20</f>
        <v>ELT</v>
      </c>
      <c r="P9" s="38" t="str">
        <f>Fuel_Code!B20</f>
        <v>Electricity</v>
      </c>
      <c r="Q9" s="38" t="str">
        <f t="shared" si="0"/>
        <v>PJ</v>
      </c>
      <c r="R9" s="38"/>
      <c r="S9" s="38"/>
      <c r="T9" s="38"/>
      <c r="U9" s="45" t="s">
        <v>46</v>
      </c>
    </row>
    <row r="10" spans="2:21" ht="13" x14ac:dyDescent="0.3">
      <c r="E10" s="5" t="s">
        <v>13</v>
      </c>
      <c r="F10" s="5"/>
      <c r="H10" s="5"/>
    </row>
    <row r="11" spans="2:21" ht="13" x14ac:dyDescent="0.3">
      <c r="B11" s="2" t="s">
        <v>1</v>
      </c>
      <c r="C11" s="2" t="s">
        <v>5</v>
      </c>
      <c r="D11" s="2" t="s">
        <v>6</v>
      </c>
      <c r="E11" s="2" t="s">
        <v>67</v>
      </c>
      <c r="F11" s="2" t="s">
        <v>8</v>
      </c>
      <c r="G11" s="2" t="s">
        <v>81</v>
      </c>
      <c r="H11" s="36" t="s">
        <v>35</v>
      </c>
      <c r="I11" s="36" t="s">
        <v>36</v>
      </c>
      <c r="J11" s="36" t="s">
        <v>58</v>
      </c>
      <c r="M11" s="37" t="s">
        <v>15</v>
      </c>
      <c r="N11" s="37"/>
      <c r="O11" s="42"/>
      <c r="P11" s="42"/>
      <c r="Q11" s="42"/>
      <c r="R11" s="42"/>
      <c r="S11" s="42"/>
      <c r="T11" s="42"/>
      <c r="U11" s="42"/>
    </row>
    <row r="12" spans="2:21" ht="21.5" thickBot="1" x14ac:dyDescent="0.35">
      <c r="B12" s="10" t="s">
        <v>40</v>
      </c>
      <c r="C12" s="10"/>
      <c r="D12" s="10" t="s">
        <v>33</v>
      </c>
      <c r="E12" s="10"/>
      <c r="F12" s="10"/>
      <c r="G12" s="10"/>
      <c r="H12" s="10" t="s">
        <v>37</v>
      </c>
      <c r="I12" s="10" t="s">
        <v>66</v>
      </c>
      <c r="J12" s="10" t="s">
        <v>65</v>
      </c>
      <c r="M12" s="39" t="s">
        <v>11</v>
      </c>
      <c r="N12" s="40" t="s">
        <v>30</v>
      </c>
      <c r="O12" s="39" t="s">
        <v>1</v>
      </c>
      <c r="P12" s="39" t="s">
        <v>2</v>
      </c>
      <c r="Q12" s="39" t="s">
        <v>16</v>
      </c>
      <c r="R12" s="39" t="s">
        <v>17</v>
      </c>
      <c r="S12" s="39" t="s">
        <v>18</v>
      </c>
      <c r="T12" s="39" t="s">
        <v>19</v>
      </c>
      <c r="U12" s="39" t="s">
        <v>20</v>
      </c>
    </row>
    <row r="13" spans="2:21" ht="21" thickBot="1" x14ac:dyDescent="0.3">
      <c r="B13" s="10" t="s">
        <v>64</v>
      </c>
      <c r="C13" s="10"/>
      <c r="D13" s="9"/>
      <c r="E13" s="9"/>
      <c r="F13" s="9"/>
      <c r="G13" s="9"/>
      <c r="H13" s="9" t="str">
        <f>$E$2</f>
        <v>PJ</v>
      </c>
      <c r="I13" s="9" t="str">
        <f>$H$2&amp;"/"&amp;$E$2</f>
        <v>RS 2015/PJ</v>
      </c>
      <c r="J13" s="9" t="str">
        <f>$E$2</f>
        <v>PJ</v>
      </c>
      <c r="M13" s="41" t="s">
        <v>39</v>
      </c>
      <c r="N13" s="41" t="s">
        <v>31</v>
      </c>
      <c r="O13" s="41" t="s">
        <v>21</v>
      </c>
      <c r="P13" s="41" t="s">
        <v>22</v>
      </c>
      <c r="Q13" s="41" t="s">
        <v>23</v>
      </c>
      <c r="R13" s="41" t="s">
        <v>24</v>
      </c>
      <c r="S13" s="41" t="s">
        <v>44</v>
      </c>
      <c r="T13" s="41" t="s">
        <v>43</v>
      </c>
      <c r="U13" s="41" t="s">
        <v>25</v>
      </c>
    </row>
    <row r="14" spans="2:21" ht="13" thickBot="1" x14ac:dyDescent="0.3">
      <c r="B14" s="38" t="str">
        <f>O15</f>
        <v>MINCOACC</v>
      </c>
      <c r="D14" s="1" t="str">
        <f>Fuel_Code!A14</f>
        <v>COACC</v>
      </c>
      <c r="E14" s="1">
        <v>2025</v>
      </c>
      <c r="F14" s="1" t="s">
        <v>72</v>
      </c>
      <c r="G14" s="1">
        <v>20</v>
      </c>
      <c r="H14" s="20"/>
      <c r="I14" s="21"/>
      <c r="J14" s="18"/>
      <c r="M14" s="41" t="s">
        <v>60</v>
      </c>
      <c r="N14" s="43"/>
      <c r="O14" s="43"/>
      <c r="P14" s="43"/>
      <c r="Q14" s="43"/>
      <c r="R14" s="43"/>
      <c r="S14" s="43"/>
      <c r="T14" s="43"/>
      <c r="U14" s="43"/>
    </row>
    <row r="15" spans="2:21" x14ac:dyDescent="0.25">
      <c r="B15" s="38"/>
      <c r="D15" s="1"/>
      <c r="E15" s="1">
        <v>0</v>
      </c>
      <c r="F15" s="1"/>
      <c r="G15" s="1"/>
      <c r="H15" s="33"/>
      <c r="I15" s="34"/>
      <c r="J15" s="35">
        <v>5</v>
      </c>
      <c r="M15" s="45" t="str">
        <f>Fuel_Code!A$2</f>
        <v>MIN</v>
      </c>
      <c r="N15" s="42"/>
      <c r="O15" s="42" t="str">
        <f>Demand_Code!A2</f>
        <v>MINCOACC</v>
      </c>
      <c r="P15" s="42" t="str">
        <f>Demand_Code!B2</f>
        <v>Domestic Production of Coking Coal</v>
      </c>
      <c r="Q15" s="42" t="str">
        <f t="shared" ref="Q15:Q23" si="1">$E$2</f>
        <v>PJ</v>
      </c>
      <c r="R15" s="42"/>
      <c r="S15" s="42"/>
      <c r="T15" s="42"/>
      <c r="U15" s="42"/>
    </row>
    <row r="16" spans="2:21" x14ac:dyDescent="0.25">
      <c r="B16" s="38" t="str">
        <f>O16</f>
        <v>MINCOANCC</v>
      </c>
      <c r="D16" s="1"/>
      <c r="E16" s="1">
        <v>2025</v>
      </c>
      <c r="F16" s="46" t="s">
        <v>72</v>
      </c>
      <c r="G16" s="1">
        <v>20</v>
      </c>
      <c r="H16" s="33"/>
      <c r="I16" s="34"/>
      <c r="J16" s="35"/>
      <c r="M16" s="45" t="str">
        <f>Fuel_Code!A$2</f>
        <v>MIN</v>
      </c>
      <c r="N16" s="42"/>
      <c r="O16" s="42" t="str">
        <f>Demand_Code!A3</f>
        <v>MINCOANCC</v>
      </c>
      <c r="P16" s="42" t="str">
        <f>Demand_Code!B3</f>
        <v>Domestic Production of Non Coking Coal</v>
      </c>
      <c r="Q16" s="42" t="str">
        <f t="shared" si="1"/>
        <v>PJ</v>
      </c>
      <c r="R16" s="42"/>
      <c r="S16" s="42"/>
      <c r="T16" s="42"/>
      <c r="U16" s="42"/>
    </row>
    <row r="17" spans="1:22" x14ac:dyDescent="0.25">
      <c r="B17" s="38"/>
      <c r="E17" s="46">
        <v>0</v>
      </c>
      <c r="J17">
        <v>5</v>
      </c>
      <c r="M17" s="45" t="str">
        <f>Fuel_Code!A$2</f>
        <v>MIN</v>
      </c>
      <c r="N17" s="42"/>
      <c r="O17" s="38" t="str">
        <f>Demand_Code!A7</f>
        <v>MINGASNAT</v>
      </c>
      <c r="P17" s="38" t="str">
        <f>Demand_Code!B7</f>
        <v xml:space="preserve">Domestic Production of Natural Gas </v>
      </c>
      <c r="Q17" s="42" t="str">
        <f t="shared" si="1"/>
        <v>PJ</v>
      </c>
      <c r="R17" s="42"/>
      <c r="S17" s="42"/>
      <c r="T17" s="42"/>
      <c r="U17" s="42"/>
    </row>
    <row r="18" spans="1:22" x14ac:dyDescent="0.25">
      <c r="B18" s="38" t="str">
        <f>O17</f>
        <v>MINGASNAT</v>
      </c>
      <c r="D18" s="1" t="str">
        <f>Fuel_Code!A21</f>
        <v>GASNAT</v>
      </c>
      <c r="E18" s="46">
        <v>2025</v>
      </c>
      <c r="F18" s="46" t="s">
        <v>72</v>
      </c>
      <c r="G18" s="1">
        <v>20</v>
      </c>
      <c r="H18" s="33"/>
      <c r="I18" s="34"/>
      <c r="J18" s="35"/>
      <c r="M18" s="45" t="str">
        <f>Fuel_Code!A$2</f>
        <v>MIN</v>
      </c>
      <c r="O18" t="str">
        <f>Demand_Code!A10</f>
        <v>MINH2GRN</v>
      </c>
      <c r="P18" t="str">
        <f>Demand_Code!B10</f>
        <v>Domestic Production of Hydorgen Green</v>
      </c>
      <c r="Q18" s="42" t="str">
        <f t="shared" si="1"/>
        <v>PJ</v>
      </c>
      <c r="R18" s="42"/>
      <c r="S18" s="42"/>
      <c r="T18" s="42"/>
      <c r="U18" s="42"/>
    </row>
    <row r="19" spans="1:22" x14ac:dyDescent="0.25">
      <c r="E19" s="46">
        <v>0</v>
      </c>
      <c r="J19">
        <v>5</v>
      </c>
      <c r="M19" s="45" t="str">
        <f>Fuel_Code!A$2</f>
        <v>MIN</v>
      </c>
      <c r="O19" t="str">
        <f>Demand_Code!A11</f>
        <v>MINELT</v>
      </c>
      <c r="P19" t="str">
        <f>Demand_Code!B11</f>
        <v>Electricity</v>
      </c>
      <c r="Q19" s="42" t="str">
        <f t="shared" si="1"/>
        <v>PJ</v>
      </c>
      <c r="R19" s="42"/>
      <c r="S19" s="42"/>
      <c r="T19" s="42"/>
      <c r="U19" s="42"/>
    </row>
    <row r="20" spans="1:22" x14ac:dyDescent="0.25">
      <c r="B20" s="42" t="str">
        <f>O18</f>
        <v>MINH2GRN</v>
      </c>
      <c r="D20" t="str">
        <f>Fuel_Code!A23</f>
        <v>H2GRN</v>
      </c>
      <c r="E20" s="46">
        <v>2025</v>
      </c>
      <c r="F20" s="46" t="s">
        <v>72</v>
      </c>
      <c r="G20" s="46">
        <v>20</v>
      </c>
      <c r="M20" s="45" t="str">
        <f>Fuel_Code!A$3</f>
        <v>IMP</v>
      </c>
      <c r="N20" s="42"/>
      <c r="O20" s="42" t="str">
        <f>Demand_Code!A4</f>
        <v>IMPCOACC</v>
      </c>
      <c r="P20" s="42" t="str">
        <f>Demand_Code!B4</f>
        <v>Import of Coking Coal</v>
      </c>
      <c r="Q20" s="42" t="str">
        <f t="shared" si="1"/>
        <v>PJ</v>
      </c>
      <c r="R20" s="42"/>
      <c r="S20" s="42"/>
      <c r="T20" s="42"/>
      <c r="U20" s="42"/>
    </row>
    <row r="21" spans="1:22" x14ac:dyDescent="0.25">
      <c r="E21" s="46">
        <v>0</v>
      </c>
      <c r="J21">
        <v>5</v>
      </c>
      <c r="M21" s="45" t="str">
        <f>Fuel_Code!A$3</f>
        <v>IMP</v>
      </c>
      <c r="N21" s="42"/>
      <c r="O21" s="42" t="str">
        <f>Demand_Code!A5</f>
        <v>IMPCOANCC</v>
      </c>
      <c r="P21" s="42" t="str">
        <f>Demand_Code!B5</f>
        <v>Import by Non Coking Coal</v>
      </c>
      <c r="Q21" s="42" t="str">
        <f t="shared" si="1"/>
        <v>PJ</v>
      </c>
      <c r="R21" s="42"/>
      <c r="S21" s="42"/>
      <c r="T21" s="42"/>
      <c r="U21" s="42"/>
    </row>
    <row r="22" spans="1:22" x14ac:dyDescent="0.25">
      <c r="B22" t="str">
        <f>O19</f>
        <v>MINELT</v>
      </c>
      <c r="D22" s="46" t="str">
        <f>Fuel_Code!A20</f>
        <v>ELT</v>
      </c>
      <c r="E22" s="46">
        <v>2025</v>
      </c>
      <c r="F22" s="46" t="s">
        <v>72</v>
      </c>
      <c r="G22">
        <v>20</v>
      </c>
      <c r="M22" s="45" t="str">
        <f>Fuel_Code!A$3</f>
        <v>IMP</v>
      </c>
      <c r="O22" t="str">
        <f>Demand_Code!A8</f>
        <v>IMPGASNAT</v>
      </c>
      <c r="P22" t="str">
        <f>Demand_Code!B8</f>
        <v xml:space="preserve">Import of Natural Gas </v>
      </c>
      <c r="Q22" s="42" t="str">
        <f t="shared" si="1"/>
        <v>PJ</v>
      </c>
    </row>
    <row r="23" spans="1:22" x14ac:dyDescent="0.25">
      <c r="E23" s="46">
        <v>0</v>
      </c>
      <c r="J23">
        <v>5</v>
      </c>
      <c r="M23" s="42" t="str">
        <f>Fuel_Code!A4</f>
        <v>EXP</v>
      </c>
      <c r="N23" s="42"/>
      <c r="O23" s="42" t="str">
        <f>Demand_Code!A6</f>
        <v>EXPCOANCC</v>
      </c>
      <c r="P23" s="42" t="str">
        <f>Demand_Code!B6</f>
        <v>Export of Non Coking Coal</v>
      </c>
      <c r="Q23" s="42" t="str">
        <f t="shared" si="1"/>
        <v>PJ</v>
      </c>
    </row>
    <row r="24" spans="1:22" x14ac:dyDescent="0.25">
      <c r="B24" s="38" t="str">
        <f>O20</f>
        <v>IMPCOACC</v>
      </c>
      <c r="C24" s="1" t="str">
        <f>$O$5</f>
        <v>COACC</v>
      </c>
      <c r="E24" s="46">
        <v>2025</v>
      </c>
      <c r="F24" s="46"/>
      <c r="G24" s="1">
        <v>20</v>
      </c>
      <c r="H24" s="20"/>
      <c r="I24" s="21"/>
      <c r="J24" s="35"/>
    </row>
    <row r="25" spans="1:22" x14ac:dyDescent="0.25">
      <c r="B25" s="38" t="str">
        <f>O21</f>
        <v>IMPCOANCC</v>
      </c>
      <c r="C25" t="str">
        <f>Fuel_Code!A15</f>
        <v>COANCC</v>
      </c>
      <c r="D25" s="46"/>
      <c r="E25" s="46">
        <v>2025</v>
      </c>
      <c r="F25" s="46"/>
      <c r="G25" s="1">
        <v>20</v>
      </c>
    </row>
    <row r="26" spans="1:22" s="1" customFormat="1" x14ac:dyDescent="0.25">
      <c r="A26"/>
      <c r="B26" s="38" t="str">
        <f t="shared" ref="B26:B27" si="2">O22</f>
        <v>IMPGASNAT</v>
      </c>
      <c r="C26" s="42" t="str">
        <f>O7</f>
        <v>GASNAT</v>
      </c>
      <c r="E26" s="46">
        <v>2025</v>
      </c>
      <c r="F26" t="s">
        <v>72</v>
      </c>
      <c r="G26"/>
      <c r="H26"/>
      <c r="I26"/>
      <c r="J26"/>
      <c r="L26"/>
      <c r="M26"/>
      <c r="N26"/>
      <c r="O26"/>
      <c r="P26"/>
      <c r="Q26"/>
      <c r="R26"/>
      <c r="S26"/>
      <c r="T26"/>
      <c r="U26"/>
      <c r="V26"/>
    </row>
    <row r="27" spans="1:22" x14ac:dyDescent="0.25">
      <c r="B27" s="38" t="str">
        <f t="shared" si="2"/>
        <v>EXPCOANCC</v>
      </c>
      <c r="D27" s="42" t="str">
        <f>O6</f>
        <v>COANCC</v>
      </c>
      <c r="V27" s="1"/>
    </row>
    <row r="28" spans="1:22" x14ac:dyDescent="0.25">
      <c r="A28" s="1"/>
    </row>
  </sheetData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79F9-1573-4116-B551-AAEB4823F41D}">
  <dimension ref="A1:U27"/>
  <sheetViews>
    <sheetView zoomScaleNormal="100" workbookViewId="0">
      <selection activeCell="M19" sqref="M19"/>
    </sheetView>
  </sheetViews>
  <sheetFormatPr defaultRowHeight="12.5" x14ac:dyDescent="0.25"/>
  <cols>
    <col min="1" max="1" width="2" bestFit="1" customWidth="1"/>
    <col min="2" max="2" width="12.453125" bestFit="1" customWidth="1"/>
    <col min="3" max="3" width="10.453125" bestFit="1" customWidth="1"/>
    <col min="4" max="5" width="11.08984375" bestFit="1" customWidth="1"/>
    <col min="6" max="6" width="8.36328125" bestFit="1" customWidth="1"/>
    <col min="7" max="7" width="8.36328125" customWidth="1"/>
    <col min="8" max="8" width="13.08984375" bestFit="1" customWidth="1"/>
    <col min="9" max="9" width="8.453125" bestFit="1" customWidth="1"/>
    <col min="10" max="10" width="13.6328125" bestFit="1" customWidth="1"/>
    <col min="11" max="11" width="13.6328125" customWidth="1"/>
    <col min="12" max="12" width="4.453125" customWidth="1"/>
    <col min="13" max="13" width="11.6328125" bestFit="1" customWidth="1"/>
    <col min="14" max="14" width="9.6328125" bestFit="1" customWidth="1"/>
    <col min="15" max="15" width="12.453125" bestFit="1" customWidth="1"/>
    <col min="16" max="16" width="48.81640625" bestFit="1" customWidth="1"/>
    <col min="17" max="17" width="6.08984375" customWidth="1"/>
    <col min="18" max="18" width="11.54296875" customWidth="1"/>
    <col min="19" max="19" width="12.90625" bestFit="1" customWidth="1"/>
    <col min="20" max="20" width="13.36328125" bestFit="1" customWidth="1"/>
    <col min="21" max="21" width="8" bestFit="1" customWidth="1"/>
  </cols>
  <sheetData>
    <row r="1" spans="1:21" ht="14.5" x14ac:dyDescent="0.35">
      <c r="B1" s="13" t="s">
        <v>52</v>
      </c>
      <c r="C1" s="13" t="s">
        <v>53</v>
      </c>
      <c r="D1" s="13" t="s">
        <v>54</v>
      </c>
      <c r="E1" s="13" t="s">
        <v>56</v>
      </c>
      <c r="F1" s="12"/>
      <c r="G1" s="12"/>
      <c r="H1" s="13" t="s">
        <v>57</v>
      </c>
    </row>
    <row r="2" spans="1:21" ht="15.5" x14ac:dyDescent="0.35">
      <c r="B2" s="8" t="s">
        <v>89</v>
      </c>
      <c r="C2" s="8"/>
      <c r="D2" s="8" t="str">
        <f>Fuel_Code!B13</f>
        <v>Coal</v>
      </c>
      <c r="E2" s="8" t="s">
        <v>55</v>
      </c>
      <c r="H2" s="8" t="s">
        <v>120</v>
      </c>
      <c r="M2" s="37" t="s">
        <v>14</v>
      </c>
      <c r="N2" s="37"/>
      <c r="O2" s="38"/>
      <c r="P2" s="38"/>
      <c r="Q2" s="38"/>
      <c r="R2" s="38"/>
      <c r="S2" s="38"/>
      <c r="T2" s="38"/>
      <c r="U2" s="38"/>
    </row>
    <row r="3" spans="1:21" ht="13" x14ac:dyDescent="0.3">
      <c r="M3" s="39" t="s">
        <v>7</v>
      </c>
      <c r="N3" s="40" t="s">
        <v>30</v>
      </c>
      <c r="O3" s="39" t="s">
        <v>0</v>
      </c>
      <c r="P3" s="39" t="s">
        <v>3</v>
      </c>
      <c r="Q3" s="39" t="s">
        <v>4</v>
      </c>
      <c r="R3" s="39" t="s">
        <v>8</v>
      </c>
      <c r="S3" s="39" t="s">
        <v>9</v>
      </c>
      <c r="T3" s="39" t="s">
        <v>10</v>
      </c>
      <c r="U3" s="39" t="s">
        <v>12</v>
      </c>
    </row>
    <row r="4" spans="1:21" ht="21" thickBot="1" x14ac:dyDescent="0.3">
      <c r="C4" s="1"/>
      <c r="M4" s="41" t="s">
        <v>38</v>
      </c>
      <c r="N4" s="41" t="s">
        <v>31</v>
      </c>
      <c r="O4" s="41" t="s">
        <v>26</v>
      </c>
      <c r="P4" s="41" t="s">
        <v>27</v>
      </c>
      <c r="Q4" s="41" t="s">
        <v>4</v>
      </c>
      <c r="R4" s="41" t="s">
        <v>41</v>
      </c>
      <c r="S4" s="41" t="s">
        <v>42</v>
      </c>
      <c r="T4" s="41" t="s">
        <v>28</v>
      </c>
      <c r="U4" s="41" t="s">
        <v>29</v>
      </c>
    </row>
    <row r="5" spans="1:21" ht="15.5" x14ac:dyDescent="0.35">
      <c r="C5" s="8"/>
      <c r="M5" s="38" t="s">
        <v>51</v>
      </c>
      <c r="N5" s="42"/>
      <c r="O5" s="38" t="str">
        <f>Fuel_Code!A14</f>
        <v>COACC</v>
      </c>
      <c r="P5" s="38" t="str">
        <f>D2</f>
        <v>Coal</v>
      </c>
      <c r="Q5" s="38" t="str">
        <f>$E$2</f>
        <v>PJ</v>
      </c>
      <c r="R5" s="38"/>
      <c r="S5" s="38"/>
      <c r="T5" s="38"/>
      <c r="U5" s="38"/>
    </row>
    <row r="6" spans="1:21" x14ac:dyDescent="0.25">
      <c r="M6" s="38" t="s">
        <v>51</v>
      </c>
      <c r="N6" s="42"/>
      <c r="O6" t="str">
        <f>Fuel_Code!A15</f>
        <v>COANCC</v>
      </c>
      <c r="P6" t="str">
        <f>Fuel_Code!B15</f>
        <v>Non Coking Coal</v>
      </c>
      <c r="Q6" s="38"/>
      <c r="R6" s="38"/>
      <c r="S6" s="38"/>
      <c r="T6" s="38"/>
      <c r="U6" s="38"/>
    </row>
    <row r="7" spans="1:21" x14ac:dyDescent="0.25">
      <c r="M7" s="38" t="s">
        <v>51</v>
      </c>
      <c r="N7" s="42"/>
      <c r="O7" s="38" t="str">
        <f>Fuel_Code!A21</f>
        <v>GASNAT</v>
      </c>
      <c r="P7" s="38" t="str">
        <f>Fuel_Code!B21</f>
        <v xml:space="preserve">Natural Gas </v>
      </c>
      <c r="Q7" s="38"/>
      <c r="R7" s="38"/>
      <c r="S7" s="38"/>
      <c r="T7" s="38"/>
      <c r="U7" s="38"/>
    </row>
    <row r="8" spans="1:21" x14ac:dyDescent="0.25">
      <c r="M8" s="38" t="s">
        <v>51</v>
      </c>
      <c r="N8" s="42"/>
      <c r="O8" s="38" t="str">
        <f>Fuel_Code!A23</f>
        <v>H2GRN</v>
      </c>
      <c r="P8" s="38" t="str">
        <f>Fuel_Code!B23</f>
        <v>Hydorgen Green</v>
      </c>
      <c r="Q8" s="38"/>
      <c r="R8" s="38"/>
      <c r="S8" s="38"/>
      <c r="T8" s="38"/>
      <c r="U8" s="38"/>
    </row>
    <row r="9" spans="1:21" x14ac:dyDescent="0.25">
      <c r="M9" s="38" t="s">
        <v>51</v>
      </c>
      <c r="N9" s="42"/>
      <c r="O9" s="38" t="str">
        <f>Fuel_Code!A20</f>
        <v>ELT</v>
      </c>
      <c r="P9" s="38" t="str">
        <f>Fuel_Code!B20</f>
        <v>Electricity</v>
      </c>
      <c r="Q9" s="38"/>
      <c r="R9" s="38"/>
      <c r="S9" s="38"/>
      <c r="T9" s="38"/>
      <c r="U9" s="38"/>
    </row>
    <row r="10" spans="1:21" x14ac:dyDescent="0.25">
      <c r="M10" s="38" t="s">
        <v>51</v>
      </c>
      <c r="O10" t="str">
        <f>Fuel_Code!A28&amp;LEFT(Fuel_Code!A29,1)</f>
        <v>IISB</v>
      </c>
      <c r="P10" t="str">
        <f>Fuel_Code!B28&amp;" "&amp;Fuel_Code!D4&amp;" "&amp;Fuel_Code!B29</f>
        <v>Steel Production by Blast Furnace Basic Oxygen Furnace</v>
      </c>
    </row>
    <row r="11" spans="1:21" x14ac:dyDescent="0.25">
      <c r="M11" s="38" t="s">
        <v>51</v>
      </c>
      <c r="O11" t="str">
        <f>Fuel_Code!A28&amp;LEFT(Fuel_Code!A30,1)</f>
        <v>IISD</v>
      </c>
      <c r="P11" t="str">
        <f>Fuel_Code!B28&amp;" "&amp;Fuel_Code!D4&amp;" "&amp;Fuel_Code!B30</f>
        <v>Steel Production by Direct Reduced Iron</v>
      </c>
    </row>
    <row r="12" spans="1:21" ht="13" x14ac:dyDescent="0.3">
      <c r="E12" s="5" t="s">
        <v>13</v>
      </c>
      <c r="F12" s="5"/>
      <c r="H12" s="5"/>
      <c r="M12" s="38" t="s">
        <v>51</v>
      </c>
      <c r="O12" t="str">
        <f>Fuel_Code!A28</f>
        <v>IIS</v>
      </c>
      <c r="P12" t="str">
        <f>Fuel_Code!B28</f>
        <v>Steel Production</v>
      </c>
    </row>
    <row r="13" spans="1:21" ht="13" x14ac:dyDescent="0.3">
      <c r="B13" s="2" t="s">
        <v>1</v>
      </c>
      <c r="C13" s="2" t="s">
        <v>5</v>
      </c>
      <c r="D13" s="2" t="s">
        <v>6</v>
      </c>
      <c r="E13" s="2" t="s">
        <v>67</v>
      </c>
      <c r="F13" s="2" t="s">
        <v>8</v>
      </c>
      <c r="G13" s="2" t="s">
        <v>81</v>
      </c>
      <c r="H13" s="36" t="s">
        <v>35</v>
      </c>
      <c r="I13" s="36" t="s">
        <v>36</v>
      </c>
      <c r="J13" s="36" t="s">
        <v>58</v>
      </c>
    </row>
    <row r="14" spans="1:21" ht="21.5" thickBot="1" x14ac:dyDescent="0.35">
      <c r="B14" s="10" t="s">
        <v>40</v>
      </c>
      <c r="C14" s="10"/>
      <c r="D14" s="10" t="s">
        <v>33</v>
      </c>
      <c r="E14" s="10"/>
      <c r="F14" s="10"/>
      <c r="G14" s="10"/>
      <c r="H14" s="10" t="s">
        <v>37</v>
      </c>
      <c r="I14" s="10" t="s">
        <v>66</v>
      </c>
      <c r="J14" s="10" t="s">
        <v>65</v>
      </c>
      <c r="M14" s="37" t="s">
        <v>15</v>
      </c>
      <c r="N14" s="37"/>
      <c r="O14" s="42"/>
      <c r="P14" s="42"/>
      <c r="Q14" s="42"/>
      <c r="R14" s="42"/>
      <c r="S14" s="42"/>
      <c r="T14" s="42"/>
      <c r="U14" s="42"/>
    </row>
    <row r="15" spans="1:21" ht="13.5" thickBot="1" x14ac:dyDescent="0.35">
      <c r="B15" s="10" t="s">
        <v>64</v>
      </c>
      <c r="C15" s="10"/>
      <c r="D15" s="9"/>
      <c r="E15" s="9"/>
      <c r="F15" s="9"/>
      <c r="G15" s="9"/>
      <c r="H15" s="9" t="str">
        <f>$E$2</f>
        <v>PJ</v>
      </c>
      <c r="I15" s="9" t="str">
        <f>$H$2&amp;"/"&amp;$E$2</f>
        <v>RS 2015/PJ</v>
      </c>
      <c r="J15" s="9" t="str">
        <f>$E$2</f>
        <v>PJ</v>
      </c>
      <c r="M15" s="39" t="s">
        <v>11</v>
      </c>
      <c r="N15" s="40" t="s">
        <v>30</v>
      </c>
      <c r="O15" s="39" t="s">
        <v>1</v>
      </c>
      <c r="P15" s="39" t="s">
        <v>2</v>
      </c>
      <c r="Q15" s="39" t="s">
        <v>16</v>
      </c>
      <c r="R15" s="39" t="s">
        <v>17</v>
      </c>
      <c r="S15" s="39" t="s">
        <v>18</v>
      </c>
      <c r="T15" s="39" t="s">
        <v>19</v>
      </c>
      <c r="U15" s="39" t="s">
        <v>20</v>
      </c>
    </row>
    <row r="16" spans="1:21" ht="21" thickBot="1" x14ac:dyDescent="0.3">
      <c r="A16" s="1"/>
      <c r="B16" s="38" t="str">
        <f>O18</f>
        <v>IISBF-BOF</v>
      </c>
      <c r="C16" s="42" t="str">
        <f>O5</f>
        <v>COACC</v>
      </c>
      <c r="D16" s="1" t="str">
        <f>O10</f>
        <v>IISB</v>
      </c>
      <c r="E16" s="1">
        <v>2025</v>
      </c>
      <c r="F16" s="1" t="s">
        <v>72</v>
      </c>
      <c r="G16" s="1">
        <v>20</v>
      </c>
      <c r="H16" s="20"/>
      <c r="I16" s="21"/>
      <c r="J16" s="18"/>
      <c r="M16" s="41" t="s">
        <v>39</v>
      </c>
      <c r="N16" s="41" t="s">
        <v>31</v>
      </c>
      <c r="O16" s="41" t="s">
        <v>21</v>
      </c>
      <c r="P16" s="41" t="s">
        <v>22</v>
      </c>
      <c r="Q16" s="41" t="s">
        <v>23</v>
      </c>
      <c r="R16" s="41" t="s">
        <v>24</v>
      </c>
      <c r="S16" s="41" t="s">
        <v>44</v>
      </c>
      <c r="T16" s="41" t="s">
        <v>43</v>
      </c>
      <c r="U16" s="41" t="s">
        <v>25</v>
      </c>
    </row>
    <row r="17" spans="2:21" ht="13" thickBot="1" x14ac:dyDescent="0.3">
      <c r="B17" s="38"/>
      <c r="C17" t="str">
        <f>O6</f>
        <v>COANCC</v>
      </c>
      <c r="D17" s="1"/>
      <c r="E17" s="1">
        <v>0</v>
      </c>
      <c r="F17" s="1"/>
      <c r="G17" s="1"/>
      <c r="H17" s="33"/>
      <c r="I17" s="34"/>
      <c r="J17" s="35">
        <v>5</v>
      </c>
      <c r="M17" s="41" t="s">
        <v>60</v>
      </c>
      <c r="N17" s="43"/>
      <c r="O17" s="43"/>
      <c r="P17" s="43"/>
      <c r="Q17" s="43"/>
      <c r="R17" s="43"/>
      <c r="S17" s="43"/>
      <c r="T17" s="43"/>
      <c r="U17" s="43"/>
    </row>
    <row r="18" spans="2:21" x14ac:dyDescent="0.25">
      <c r="C18" t="str">
        <f>O7</f>
        <v>GASNAT</v>
      </c>
      <c r="M18" s="45" t="s">
        <v>125</v>
      </c>
      <c r="N18" s="42"/>
      <c r="O18" s="42" t="str">
        <f>Fuel_Code!A28&amp;Fuel_Code!A29</f>
        <v>IISBF-BOF</v>
      </c>
      <c r="P18" s="42" t="str">
        <f>Fuel_Code!B28&amp;" "&amp;Fuel_Code!B29</f>
        <v>Steel Production Blast Furnace Basic Oxygen Furnace</v>
      </c>
      <c r="Q18" s="42" t="str">
        <f t="shared" ref="Q18" si="0">$E$2</f>
        <v>PJ</v>
      </c>
      <c r="R18" s="42"/>
      <c r="S18" s="42"/>
      <c r="T18" s="42"/>
      <c r="U18" s="42"/>
    </row>
    <row r="19" spans="2:21" x14ac:dyDescent="0.25">
      <c r="C19" t="str">
        <f>O8</f>
        <v>H2GRN</v>
      </c>
      <c r="M19" s="45" t="s">
        <v>125</v>
      </c>
      <c r="O19" t="str">
        <f>Fuel_Code!A28&amp;Fuel_Code!A30</f>
        <v>IISDRI</v>
      </c>
      <c r="P19" t="str">
        <f>Fuel_Code!B28&amp;" "&amp;Fuel_Code!B30</f>
        <v>Steel Production Direct Reduced Iron</v>
      </c>
      <c r="Q19" t="s">
        <v>55</v>
      </c>
    </row>
    <row r="20" spans="2:21" x14ac:dyDescent="0.25">
      <c r="C20" t="str">
        <f>O9</f>
        <v>ELT</v>
      </c>
    </row>
    <row r="21" spans="2:21" x14ac:dyDescent="0.25">
      <c r="B21" t="str">
        <f>O19</f>
        <v>IISDRI</v>
      </c>
      <c r="C21" s="42" t="str">
        <f>O5</f>
        <v>COACC</v>
      </c>
      <c r="D21" t="str">
        <f>O11</f>
        <v>IISD</v>
      </c>
      <c r="E21" s="1">
        <v>2025</v>
      </c>
      <c r="F21" s="1" t="s">
        <v>72</v>
      </c>
      <c r="G21" s="1">
        <v>20</v>
      </c>
      <c r="H21" s="20"/>
      <c r="I21" s="21"/>
      <c r="J21" s="18"/>
    </row>
    <row r="22" spans="2:21" x14ac:dyDescent="0.25">
      <c r="C22" s="42" t="str">
        <f t="shared" ref="C22:C25" si="1">O6</f>
        <v>COANCC</v>
      </c>
      <c r="E22" s="1">
        <v>0</v>
      </c>
      <c r="F22" s="1"/>
      <c r="G22" s="1"/>
      <c r="H22" s="33"/>
      <c r="I22" s="34"/>
      <c r="J22" s="35">
        <v>5</v>
      </c>
    </row>
    <row r="23" spans="2:21" x14ac:dyDescent="0.25">
      <c r="C23" s="42" t="str">
        <f t="shared" si="1"/>
        <v>GASNAT</v>
      </c>
    </row>
    <row r="24" spans="2:21" x14ac:dyDescent="0.25">
      <c r="C24" s="42" t="str">
        <f t="shared" si="1"/>
        <v>H2GRN</v>
      </c>
    </row>
    <row r="25" spans="2:21" x14ac:dyDescent="0.25">
      <c r="C25" s="42" t="str">
        <f t="shared" si="1"/>
        <v>ELT</v>
      </c>
    </row>
    <row r="26" spans="2:21" x14ac:dyDescent="0.25">
      <c r="C26" s="42"/>
      <c r="E26" s="1"/>
      <c r="F26" s="1"/>
      <c r="G26" s="1"/>
      <c r="H26" s="20"/>
      <c r="I26" s="21"/>
      <c r="J26" s="18"/>
    </row>
    <row r="27" spans="2:21" x14ac:dyDescent="0.25">
      <c r="C27" s="42"/>
      <c r="E27" s="1"/>
      <c r="F27" s="1"/>
      <c r="G27" s="1"/>
      <c r="H27" s="33"/>
      <c r="I27" s="34"/>
      <c r="J27" s="35"/>
    </row>
  </sheetData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8"/>
  <sheetViews>
    <sheetView tabSelected="1" zoomScale="81" zoomScaleNormal="81" workbookViewId="0">
      <selection activeCell="C17" sqref="C17"/>
    </sheetView>
  </sheetViews>
  <sheetFormatPr defaultRowHeight="12.5" x14ac:dyDescent="0.25"/>
  <cols>
    <col min="1" max="1" width="3" customWidth="1"/>
    <col min="2" max="2" width="12.08984375" bestFit="1" customWidth="1"/>
    <col min="3" max="3" width="15" customWidth="1"/>
    <col min="4" max="4" width="13.90625" bestFit="1" customWidth="1"/>
    <col min="5" max="5" width="12.36328125" bestFit="1" customWidth="1"/>
    <col min="6" max="6" width="12.08984375" bestFit="1" customWidth="1"/>
    <col min="7" max="7" width="7.453125" bestFit="1" customWidth="1"/>
    <col min="8" max="9" width="9.36328125" bestFit="1" customWidth="1"/>
    <col min="10" max="10" width="8" bestFit="1" customWidth="1"/>
    <col min="11" max="11" width="8" customWidth="1"/>
    <col min="12" max="12" width="2.6328125" customWidth="1"/>
    <col min="13" max="13" width="12.6328125" bestFit="1" customWidth="1"/>
    <col min="14" max="14" width="11.81640625" bestFit="1" customWidth="1"/>
    <col min="15" max="15" width="11.453125" bestFit="1" customWidth="1"/>
    <col min="16" max="16" width="42.54296875" bestFit="1" customWidth="1"/>
    <col min="17" max="17" width="6.90625" customWidth="1"/>
    <col min="18" max="18" width="11.6328125" customWidth="1"/>
    <col min="19" max="19" width="13.453125" customWidth="1"/>
    <col min="20" max="20" width="13.90625" customWidth="1"/>
    <col min="21" max="21" width="8.453125" customWidth="1"/>
  </cols>
  <sheetData>
    <row r="1" spans="2:21" ht="14.5" x14ac:dyDescent="0.35">
      <c r="B1" s="7" t="s">
        <v>52</v>
      </c>
      <c r="C1" s="7" t="s">
        <v>54</v>
      </c>
      <c r="D1" s="7" t="s">
        <v>73</v>
      </c>
      <c r="E1" s="7" t="s">
        <v>56</v>
      </c>
      <c r="F1" s="7" t="s">
        <v>57</v>
      </c>
      <c r="H1" s="7" t="s">
        <v>74</v>
      </c>
    </row>
    <row r="2" spans="2:21" ht="31" x14ac:dyDescent="0.35">
      <c r="B2" s="8" t="s">
        <v>89</v>
      </c>
      <c r="C2" s="22" t="s">
        <v>90</v>
      </c>
      <c r="D2" s="22" t="str">
        <f>"Demand Technology"</f>
        <v>Demand Technology</v>
      </c>
      <c r="E2" s="8" t="s">
        <v>133</v>
      </c>
      <c r="F2" s="8" t="str">
        <f>Pri_COA!H2</f>
        <v>RS 2015</v>
      </c>
      <c r="H2" s="8" t="s">
        <v>75</v>
      </c>
      <c r="M2" s="37" t="s">
        <v>14</v>
      </c>
      <c r="N2" s="37"/>
      <c r="O2" s="38"/>
      <c r="P2" s="38"/>
      <c r="Q2" s="38"/>
      <c r="R2" s="38"/>
      <c r="S2" s="38"/>
      <c r="T2" s="38"/>
      <c r="U2" s="38"/>
    </row>
    <row r="3" spans="2:21" ht="13" x14ac:dyDescent="0.3">
      <c r="M3" s="39" t="s">
        <v>7</v>
      </c>
      <c r="N3" s="40" t="s">
        <v>30</v>
      </c>
      <c r="O3" s="39" t="s">
        <v>0</v>
      </c>
      <c r="P3" s="39" t="s">
        <v>3</v>
      </c>
      <c r="Q3" s="39" t="s">
        <v>4</v>
      </c>
      <c r="R3" s="39" t="s">
        <v>8</v>
      </c>
      <c r="S3" s="39" t="s">
        <v>9</v>
      </c>
      <c r="T3" s="39" t="s">
        <v>10</v>
      </c>
      <c r="U3" s="39" t="s">
        <v>12</v>
      </c>
    </row>
    <row r="4" spans="2:21" ht="22" thickBot="1" x14ac:dyDescent="0.4">
      <c r="B4" s="23"/>
      <c r="C4" s="23"/>
      <c r="D4" s="23"/>
      <c r="E4" s="23"/>
      <c r="F4" s="23"/>
      <c r="M4" s="41" t="s">
        <v>38</v>
      </c>
      <c r="N4" s="41" t="s">
        <v>31</v>
      </c>
      <c r="O4" s="41" t="s">
        <v>26</v>
      </c>
      <c r="P4" s="41" t="s">
        <v>27</v>
      </c>
      <c r="Q4" s="41" t="s">
        <v>4</v>
      </c>
      <c r="R4" s="41" t="s">
        <v>41</v>
      </c>
      <c r="S4" s="41" t="s">
        <v>42</v>
      </c>
      <c r="T4" s="41" t="s">
        <v>28</v>
      </c>
      <c r="U4" s="41" t="s">
        <v>29</v>
      </c>
    </row>
    <row r="5" spans="2:21" ht="15.5" x14ac:dyDescent="0.35">
      <c r="B5" s="23"/>
      <c r="C5" s="23"/>
      <c r="D5" s="23"/>
      <c r="E5" s="23"/>
      <c r="F5" s="23"/>
      <c r="M5" s="38" t="s">
        <v>62</v>
      </c>
      <c r="N5" s="42"/>
      <c r="O5" s="38" t="str">
        <f>Fuel_Code!A28</f>
        <v>IIS</v>
      </c>
      <c r="P5" s="38" t="str">
        <f>Fuel_Code!B33&amp;" "&amp;Fuel_Code!D3&amp;" "&amp;LEFT(Fuel_Code!B28,5)</f>
        <v>Total Primary Supply of Steel</v>
      </c>
      <c r="Q5" s="38" t="str">
        <f>E2</f>
        <v>MT</v>
      </c>
      <c r="R5" s="38"/>
      <c r="S5" s="38"/>
      <c r="T5" s="38"/>
      <c r="U5" s="38"/>
    </row>
    <row r="8" spans="2:21" ht="13" x14ac:dyDescent="0.3">
      <c r="D8" s="5" t="s">
        <v>13</v>
      </c>
      <c r="E8" s="5"/>
      <c r="F8" s="5"/>
      <c r="G8" s="5"/>
      <c r="I8" s="5"/>
      <c r="J8" s="24"/>
      <c r="K8" s="25"/>
      <c r="L8" s="25"/>
      <c r="M8" s="37" t="s">
        <v>15</v>
      </c>
      <c r="N8" s="37"/>
      <c r="O8" s="42"/>
      <c r="P8" s="42"/>
      <c r="Q8" s="42"/>
      <c r="R8" s="42"/>
      <c r="S8" s="42"/>
      <c r="T8" s="42"/>
      <c r="U8" s="42"/>
    </row>
    <row r="9" spans="2:21" ht="13" x14ac:dyDescent="0.3">
      <c r="B9" s="27" t="s">
        <v>1</v>
      </c>
      <c r="C9" s="27" t="s">
        <v>5</v>
      </c>
      <c r="D9" s="27" t="s">
        <v>6</v>
      </c>
      <c r="E9" s="32" t="s">
        <v>76</v>
      </c>
      <c r="F9" s="32" t="s">
        <v>139</v>
      </c>
      <c r="G9" s="27" t="s">
        <v>77</v>
      </c>
      <c r="H9" s="27" t="s">
        <v>78</v>
      </c>
      <c r="I9" s="27" t="s">
        <v>79</v>
      </c>
      <c r="J9" s="27" t="s">
        <v>80</v>
      </c>
      <c r="K9" s="32" t="s">
        <v>81</v>
      </c>
      <c r="L9" s="52"/>
      <c r="M9" s="39" t="s">
        <v>11</v>
      </c>
      <c r="N9" s="40" t="s">
        <v>30</v>
      </c>
      <c r="O9" s="39" t="s">
        <v>1</v>
      </c>
      <c r="P9" s="39" t="s">
        <v>2</v>
      </c>
      <c r="Q9" s="39" t="s">
        <v>16</v>
      </c>
      <c r="R9" s="39" t="s">
        <v>17</v>
      </c>
      <c r="S9" s="39" t="s">
        <v>18</v>
      </c>
      <c r="T9" s="39" t="s">
        <v>19</v>
      </c>
      <c r="U9" s="39" t="s">
        <v>20</v>
      </c>
    </row>
    <row r="10" spans="2:21" ht="21" thickBot="1" x14ac:dyDescent="0.3">
      <c r="B10" s="11" t="s">
        <v>40</v>
      </c>
      <c r="C10" s="11" t="s">
        <v>32</v>
      </c>
      <c r="D10" s="11" t="s">
        <v>33</v>
      </c>
      <c r="E10" s="11" t="s">
        <v>82</v>
      </c>
      <c r="F10" s="11"/>
      <c r="G10" s="11" t="s">
        <v>83</v>
      </c>
      <c r="H10" s="31" t="s">
        <v>84</v>
      </c>
      <c r="I10" s="11" t="s">
        <v>85</v>
      </c>
      <c r="J10" s="11" t="s">
        <v>86</v>
      </c>
      <c r="K10" s="11" t="s">
        <v>91</v>
      </c>
      <c r="L10" s="50"/>
      <c r="M10" s="41" t="s">
        <v>39</v>
      </c>
      <c r="N10" s="41" t="s">
        <v>31</v>
      </c>
      <c r="O10" s="41" t="s">
        <v>21</v>
      </c>
      <c r="P10" s="41" t="s">
        <v>22</v>
      </c>
      <c r="Q10" s="41" t="s">
        <v>23</v>
      </c>
      <c r="R10" s="41" t="s">
        <v>24</v>
      </c>
      <c r="S10" s="41" t="s">
        <v>44</v>
      </c>
      <c r="T10" s="41" t="s">
        <v>43</v>
      </c>
      <c r="U10" s="41" t="s">
        <v>25</v>
      </c>
    </row>
    <row r="11" spans="2:21" ht="21" thickBot="1" x14ac:dyDescent="0.3">
      <c r="B11" s="10" t="s">
        <v>64</v>
      </c>
      <c r="C11" s="10"/>
      <c r="D11" s="10"/>
      <c r="E11" s="9" t="str">
        <f>E2&amp;"a"</f>
        <v>MTa</v>
      </c>
      <c r="F11" s="9"/>
      <c r="G11" s="9"/>
      <c r="H11" s="28"/>
      <c r="I11" s="9" t="str">
        <f>$F$2&amp;"/"&amp;$E$2</f>
        <v>RS 2015/MT</v>
      </c>
      <c r="J11" s="9" t="str">
        <f>$F$2&amp;"/"&amp;$E$2&amp;"a"</f>
        <v>RS 2015/MTa</v>
      </c>
      <c r="K11" s="9" t="s">
        <v>87</v>
      </c>
      <c r="L11" s="51"/>
      <c r="M11" s="41" t="s">
        <v>60</v>
      </c>
      <c r="N11" s="41"/>
      <c r="O11" s="41"/>
      <c r="P11" s="41"/>
      <c r="Q11" s="41"/>
      <c r="R11" s="41"/>
      <c r="S11" s="41"/>
      <c r="T11" s="41"/>
      <c r="U11" s="41"/>
    </row>
    <row r="12" spans="2:21" x14ac:dyDescent="0.25">
      <c r="B12" s="45" t="s">
        <v>144</v>
      </c>
      <c r="C12" t="str">
        <f>SEC_Process!D16</f>
        <v>IISB</v>
      </c>
      <c r="D12" t="str">
        <f>$O$5</f>
        <v>IIS</v>
      </c>
      <c r="G12" s="29">
        <v>1</v>
      </c>
      <c r="H12" s="29"/>
      <c r="I12" s="17"/>
      <c r="J12" s="29"/>
      <c r="K12" s="17">
        <v>20</v>
      </c>
      <c r="L12" s="17"/>
      <c r="M12" s="38" t="s">
        <v>88</v>
      </c>
      <c r="N12" s="42"/>
      <c r="O12" s="42" t="str">
        <f>LEFT(M12,1)&amp;O5</f>
        <v>DIIS</v>
      </c>
      <c r="P12" s="42" t="str">
        <f>D2&amp;" "&amp;P5</f>
        <v>Demand Technology Total Primary Supply of Steel</v>
      </c>
      <c r="Q12" s="42" t="str">
        <f>$E$2</f>
        <v>MT</v>
      </c>
      <c r="R12" s="42" t="str">
        <f>$E$2&amp;"a"</f>
        <v>MTa</v>
      </c>
      <c r="S12" s="42"/>
      <c r="T12" s="42"/>
      <c r="U12" s="42"/>
    </row>
    <row r="13" spans="2:21" x14ac:dyDescent="0.25">
      <c r="C13" t="str">
        <f>SEC_Process!D21</f>
        <v>IISD</v>
      </c>
      <c r="E13" s="6"/>
      <c r="F13" s="30"/>
      <c r="G13" s="30"/>
      <c r="I13" s="30"/>
      <c r="M13" s="1"/>
    </row>
    <row r="14" spans="2:21" x14ac:dyDescent="0.25">
      <c r="E14" s="6"/>
      <c r="F14" s="30"/>
      <c r="G14" s="30"/>
      <c r="I14" s="30"/>
      <c r="P14" s="12"/>
    </row>
    <row r="15" spans="2:21" x14ac:dyDescent="0.25">
      <c r="E15" s="6"/>
      <c r="F15" s="30"/>
      <c r="G15" s="30"/>
      <c r="I15" s="30"/>
      <c r="P15" s="12"/>
    </row>
    <row r="18" spans="2:12" x14ac:dyDescent="0.25">
      <c r="I18" s="26"/>
    </row>
    <row r="19" spans="2:12" x14ac:dyDescent="0.25">
      <c r="I19" s="26"/>
    </row>
    <row r="23" spans="2:12" x14ac:dyDescent="0.25">
      <c r="B23" s="17"/>
      <c r="C23" s="1" t="s">
        <v>70</v>
      </c>
    </row>
    <row r="24" spans="2:12" x14ac:dyDescent="0.25">
      <c r="B24" s="19"/>
      <c r="C24" s="1" t="s">
        <v>71</v>
      </c>
    </row>
    <row r="25" spans="2:12" x14ac:dyDescent="0.25">
      <c r="L25" s="1"/>
    </row>
    <row r="26" spans="2:12" x14ac:dyDescent="0.25">
      <c r="L26" s="1"/>
    </row>
    <row r="27" spans="2:12" x14ac:dyDescent="0.25">
      <c r="L27" s="1"/>
    </row>
    <row r="28" spans="2:12" x14ac:dyDescent="0.25">
      <c r="L28" s="1"/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2"/>
  <sheetViews>
    <sheetView workbookViewId="0">
      <selection activeCell="N9" sqref="N9"/>
    </sheetView>
  </sheetViews>
  <sheetFormatPr defaultRowHeight="12.5" x14ac:dyDescent="0.25"/>
  <cols>
    <col min="1" max="1" width="2" bestFit="1" customWidth="1"/>
    <col min="2" max="2" width="11.54296875" bestFit="1" customWidth="1"/>
    <col min="3" max="3" width="25.36328125" bestFit="1" customWidth="1"/>
    <col min="4" max="4" width="11.453125" bestFit="1" customWidth="1"/>
    <col min="5" max="5" width="10.90625" bestFit="1" customWidth="1"/>
    <col min="6" max="9" width="12.453125" customWidth="1"/>
    <col min="10" max="10" width="7.36328125" customWidth="1"/>
    <col min="11" max="11" width="11.453125" bestFit="1" customWidth="1"/>
  </cols>
  <sheetData>
    <row r="1" spans="2:9" ht="14.5" x14ac:dyDescent="0.35">
      <c r="B1" s="7" t="s">
        <v>52</v>
      </c>
      <c r="C1" s="7" t="s">
        <v>53</v>
      </c>
      <c r="D1" s="7" t="s">
        <v>54</v>
      </c>
      <c r="E1" s="7" t="s">
        <v>56</v>
      </c>
      <c r="F1" s="7" t="s">
        <v>57</v>
      </c>
    </row>
    <row r="2" spans="2:9" ht="15.5" x14ac:dyDescent="0.35">
      <c r="B2" s="8" t="s">
        <v>62</v>
      </c>
      <c r="C2" s="8" t="s">
        <v>137</v>
      </c>
      <c r="D2" s="8"/>
      <c r="E2" s="8" t="s">
        <v>133</v>
      </c>
      <c r="F2" s="8" t="str">
        <f>Pri_COA!H2</f>
        <v>RS 2015</v>
      </c>
    </row>
    <row r="5" spans="2:9" ht="13" x14ac:dyDescent="0.3">
      <c r="C5" s="4" t="s">
        <v>13</v>
      </c>
      <c r="D5" s="4"/>
      <c r="E5" s="1"/>
    </row>
    <row r="6" spans="2:9" ht="13" x14ac:dyDescent="0.25">
      <c r="B6" s="3" t="s">
        <v>59</v>
      </c>
      <c r="C6" s="3" t="s">
        <v>0</v>
      </c>
      <c r="D6" s="3" t="s">
        <v>68</v>
      </c>
      <c r="E6" s="3">
        <v>2025</v>
      </c>
      <c r="F6" s="3">
        <f>E6+5</f>
        <v>2030</v>
      </c>
      <c r="G6" s="3">
        <f t="shared" ref="G6:H6" si="0">F6+5</f>
        <v>2035</v>
      </c>
      <c r="H6" s="3">
        <f t="shared" si="0"/>
        <v>2040</v>
      </c>
    </row>
    <row r="7" spans="2:9" x14ac:dyDescent="0.25">
      <c r="B7" s="11" t="s">
        <v>60</v>
      </c>
      <c r="C7" s="11" t="s">
        <v>61</v>
      </c>
      <c r="D7" s="11" t="s">
        <v>69</v>
      </c>
      <c r="E7" s="11" t="s">
        <v>34</v>
      </c>
      <c r="F7" s="11" t="s">
        <v>34</v>
      </c>
      <c r="G7" s="11" t="s">
        <v>34</v>
      </c>
      <c r="H7" s="11" t="s">
        <v>34</v>
      </c>
    </row>
    <row r="8" spans="2:9" ht="13" thickBot="1" x14ac:dyDescent="0.3">
      <c r="B8" s="10" t="s">
        <v>64</v>
      </c>
      <c r="C8" s="10"/>
      <c r="D8" s="10"/>
      <c r="E8" s="10"/>
      <c r="F8" s="10"/>
      <c r="G8" s="10"/>
      <c r="H8" s="10"/>
    </row>
    <row r="9" spans="2:9" x14ac:dyDescent="0.25">
      <c r="B9" s="16" t="str">
        <f>C2</f>
        <v xml:space="preserve">Demand </v>
      </c>
      <c r="C9" s="16" t="str">
        <f>DemTechs_TPS!O5</f>
        <v>IIS</v>
      </c>
      <c r="D9" s="47" t="s">
        <v>133</v>
      </c>
      <c r="E9" s="30">
        <f>Demand_Projection!B28</f>
        <v>166.99924593171787</v>
      </c>
      <c r="F9" s="30">
        <f>Demand_Projection!B33</f>
        <v>240.62596134269378</v>
      </c>
      <c r="G9" s="30">
        <f>Demand_Projection!B38</f>
        <v>346.713261781852</v>
      </c>
      <c r="H9" s="30">
        <f>Demand_Projection!B43</f>
        <v>499.57238705515505</v>
      </c>
    </row>
    <row r="11" spans="2:9" x14ac:dyDescent="0.25">
      <c r="G11" s="6"/>
      <c r="H11" s="6"/>
      <c r="I11" s="6"/>
    </row>
    <row r="12" spans="2:9" x14ac:dyDescent="0.25">
      <c r="E12" s="15"/>
    </row>
    <row r="13" spans="2:9" x14ac:dyDescent="0.25">
      <c r="E13" s="6"/>
    </row>
    <row r="15" spans="2:9" x14ac:dyDescent="0.25">
      <c r="E15" s="6"/>
    </row>
    <row r="21" spans="2:3" x14ac:dyDescent="0.25">
      <c r="B21" s="17"/>
      <c r="C21" s="1" t="s">
        <v>70</v>
      </c>
    </row>
    <row r="22" spans="2:3" x14ac:dyDescent="0.25">
      <c r="B22" s="19"/>
      <c r="C22" s="1" t="s">
        <v>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Demand_Projection</vt:lpstr>
      <vt:lpstr>Fuel_Code</vt:lpstr>
      <vt:lpstr>Demand_Code</vt:lpstr>
      <vt:lpstr>Pri_COA</vt:lpstr>
      <vt:lpstr>SEC_Process</vt:lpstr>
      <vt:lpstr>DemTechs_TPS</vt:lpstr>
      <vt:lpstr>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KUMAR GAURAV</cp:lastModifiedBy>
  <cp:lastPrinted>2004-11-16T14:57:57Z</cp:lastPrinted>
  <dcterms:created xsi:type="dcterms:W3CDTF">2000-12-13T15:53:11Z</dcterms:created>
  <dcterms:modified xsi:type="dcterms:W3CDTF">2025-05-09T08:44:51Z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333507835865020</vt:r8>
  </property>
</Properties>
</file>